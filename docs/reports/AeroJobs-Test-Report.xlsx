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Security tests" sheetId="3" state="visible" r:id="rId5"/>
    <sheet name="Defects" sheetId="4" state="visible" r:id="rId6"/>
    <sheet name="Employers (10)" sheetId="5" state="visible" r:id="rId7"/>
    <sheet name="Employers not used" sheetId="6" state="visible" r:id="rId8"/>
    <sheet name="Data quality" sheetId="7" state="visible" r:id="rId9"/>
  </sheets>
  <definedNames>
    <definedName function="false" hidden="true" localSheetId="6" name="_xlnm._FilterDatabase" vbProcedure="false">'Data quality'!$A$1:$F$9</definedName>
    <definedName function="false" hidden="true" localSheetId="3" name="_xlnm._FilterDatabase" vbProcedure="false">Defects!$A$1:$H$13</definedName>
    <definedName function="false" hidden="true" localSheetId="4" name="_xlnm._FilterDatabase" vbProcedure="false">'Employers (10)'!$A$1:$L$11</definedName>
    <definedName function="false" hidden="true" localSheetId="5" name="_xlnm._FilterDatabase" vbProcedure="false">'Employers not used'!$A$1:$C$41</definedName>
    <definedName function="false" hidden="true" localSheetId="2" name="_xlnm._FilterDatabase" vbProcedure="false">'Security tests'!$A$1:$I$30</definedName>
    <definedName function="false" hidden="true" localSheetId="1" name="_xlnm._FilterDatabase" vbProcedure="false">'Test cases'!$A$1:$O$37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<sst xmlns="http://schemas.openxmlformats.org/spreadsheetml/2006/main" count="1134" uniqueCount="575">
  <si>
    <t xml:space="preserve">AeroJobs test report</t>
  </si>
  <si>
    <t xml:space="preserve">Live site https://aerojobs.work with 10 real employers. Tested 5 October 2026; re-tested after the owner's filter bug report.</t>
  </si>
  <si>
    <t xml:space="preserve">Results (re-test after fixes)</t>
  </si>
  <si>
    <t xml:space="preserve">Test group</t>
  </si>
  <si>
    <t xml:space="preserve">Total</t>
  </si>
  <si>
    <t xml:space="preserve">Pass</t>
  </si>
  <si>
    <t xml:space="preserve">Fail</t>
  </si>
  <si>
    <t xml:space="preserve">Not tested / skipped</t>
  </si>
  <si>
    <t xml:space="preserve">Website tests (unique test cases)</t>
  </si>
  <si>
    <t xml:space="preserve">Website test runs (each browser and device)</t>
  </si>
  <si>
    <t xml:space="preserve">Security and penetration tests</t>
  </si>
  <si>
    <t xml:space="preserve">Automated code tests (run on every update)</t>
  </si>
  <si>
    <t xml:space="preserve">Fetcher, readers, filters data, site build, unsafe links</t>
  </si>
  <si>
    <t xml:space="preserve">Defects found</t>
  </si>
  <si>
    <t xml:space="preserve">Pass column = fixed or closed; Fail = still open; last column = partly fixed, known, planned or owner decision</t>
  </si>
  <si>
    <t xml:space="preserve">What was tested</t>
  </si>
  <si>
    <t xml:space="preserve">Browsers and devices</t>
  </si>
  <si>
    <t xml:space="preserve">Chrome, Firefox and Safari's engine (WebKit) on desktop; Pixel 7 (Android), iPhone 13 and a 390px Firefox phone</t>
  </si>
  <si>
    <t xml:space="preserve">Test types</t>
  </si>
  <si>
    <t xml:space="preserve">Functional, black box, end to end, responsive/phone, accessibility basics, speed, SEO and AdSense readiness, security and penetration</t>
  </si>
  <si>
    <t xml:space="preserve">Pages and flows</t>
  </si>
  <si>
    <t xml:space="preserve">Home, search, every filter, sorting, Show more, job pages, Apply links, employer/country/role pages, guides, legal pages, 404, phone menu and filter panel</t>
  </si>
  <si>
    <t xml:space="preserve">Expected results</t>
  </si>
  <si>
    <t xml:space="preserve">Worked out from the site's own live job list, so counts are checked exactly against real data</t>
  </si>
  <si>
    <t xml:space="preserve">Data</t>
  </si>
  <si>
    <t xml:space="preserve">3,598 live jobs from 10 real employers in 42 countries</t>
  </si>
  <si>
    <t xml:space="preserve">Not tested</t>
  </si>
  <si>
    <t xml:space="preserve">Flood/DDoS attacks (would attack Cloudflare); real iPhone/Android hardware (emulated devices used)</t>
  </si>
  <si>
    <t xml:space="preserve">Decisions needed from you</t>
  </si>
  <si>
    <t xml:space="preserve">1. Honeywell and RTX list many non-aviation jobs. Keep them, drop Honeywell, or filter to aerospace units? (DEF-09)</t>
  </si>
  <si>
    <t xml:space="preserve">2. Turn on AI role sorting? Needs an Anthropic API key with a $5 monthly limit, added as a GitHub secret. (DEF-05)</t>
  </si>
  <si>
    <t xml:space="preserve">3. Cloudflare Web Analytics: keep, or switch off if you'll use Google Analytics? (DEF-07)</t>
  </si>
  <si>
    <t xml:space="preserve">4. Next employers: build SuccessFactors and Taleo readers to add JetBlue, Ryanair, Qatar Airways and easyJet? (DEF-11)</t>
  </si>
  <si>
    <t xml:space="preserve">Tabs: Test cases · Security tests · Defects · Employers (10) · Employers not used · Data quality</t>
  </si>
  <si>
    <t xml:space="preserve">Test ID</t>
  </si>
  <si>
    <t xml:space="preserve">Area</t>
  </si>
  <si>
    <t xml:space="preserve">Test type</t>
  </si>
  <si>
    <t xml:space="preserve">What is tested</t>
  </si>
  <si>
    <t xml:space="preserve">Steps</t>
  </si>
  <si>
    <t xml:space="preserve">Expected result</t>
  </si>
  <si>
    <t xml:space="preserve">Chrome desktop</t>
  </si>
  <si>
    <t xml:space="preserve">Chrome Android (Pixel 7)</t>
  </si>
  <si>
    <t xml:space="preserve">Firefox desktop</t>
  </si>
  <si>
    <t xml:space="preserve">Firefox phone</t>
  </si>
  <si>
    <t xml:space="preserve">Safari engine desktop</t>
  </si>
  <si>
    <t xml:space="preserve">Safari iPhone 13</t>
  </si>
  <si>
    <t xml:space="preserve">Result (re-test)</t>
  </si>
  <si>
    <t xml:space="preserve">First run</t>
  </si>
  <si>
    <t xml:space="preserve">Actual result</t>
  </si>
  <si>
    <t xml:space="preserve">TC-NAV-01</t>
  </si>
  <si>
    <t xml:space="preserve">Navigation</t>
  </si>
  <si>
    <t xml:space="preserve">Functional</t>
  </si>
  <si>
    <t xml:space="preserve">Home page loads with headline and job count</t>
  </si>
  <si>
    <t xml:space="preserve">Open the home page</t>
  </si>
  <si>
    <t xml:space="preserve">HTTP 200, headline shown, job count equals live data</t>
  </si>
  <si>
    <t xml:space="preserve">N/A</t>
  </si>
  <si>
    <t xml:space="preserve">HTTP 200, headline shown, 3598 jobs listed (matches data)</t>
  </si>
  <si>
    <t xml:space="preserve">TC-NAV-02</t>
  </si>
  <si>
    <t xml:space="preserve">Header links and logo</t>
  </si>
  <si>
    <t xml:space="preserve">Click Employers, Countries, Guides, then the logo</t>
  </si>
  <si>
    <t xml:space="preserve">Each opens its page; logo returns home</t>
  </si>
  <si>
    <t xml:space="preserve">Employers, Countries, Guides open the right pages; logo returns home</t>
  </si>
  <si>
    <t xml:space="preserve">TC-NAV-03</t>
  </si>
  <si>
    <t xml:space="preserve">Role quick-filter chips</t>
  </si>
  <si>
    <t xml:space="preserve">Open each of the 8 role chips</t>
  </si>
  <si>
    <t xml:space="preserve">Each role page loads</t>
  </si>
  <si>
    <t xml:space="preserve">All 8 role chips open their role page (HTTP 200)</t>
  </si>
  <si>
    <t xml:space="preserve">TC-NAV-04</t>
  </si>
  <si>
    <t xml:space="preserve">Footer pages (About, Contact, Privacy, Terms)</t>
  </si>
  <si>
    <t xml:space="preserve">Open each footer page</t>
  </si>
  <si>
    <t xml:space="preserve">Pages load with the required content</t>
  </si>
  <si>
    <t xml:space="preserve">About, Contact (email shown), Privacy (mentions Google ads), Terms all load</t>
  </si>
  <si>
    <t xml:space="preserve">TC-NAV-05</t>
  </si>
  <si>
    <t xml:space="preserve">Black box</t>
  </si>
  <si>
    <t xml:space="preserve">Unknown address shows a 404 page</t>
  </si>
  <si>
    <t xml:space="preserve">Open a made-up address</t>
  </si>
  <si>
    <t xml:space="preserve">HTTP 404 and a friendly page</t>
  </si>
  <si>
    <t xml:space="preserve">HTTP 404 with the friendly 'left the gate' page and a link back</t>
  </si>
  <si>
    <t xml:space="preserve">TC-NAV-06</t>
  </si>
  <si>
    <t xml:space="preserve">End to end</t>
  </si>
  <si>
    <t xml:space="preserve">No broken internal links</t>
  </si>
  <si>
    <t xml:space="preserve">Follow every internal link from the home page</t>
  </si>
  <si>
    <t xml:space="preserve">No link returns an error</t>
  </si>
  <si>
    <t xml:space="preserve">Crawled 700 pages and files; no broken internal links</t>
  </si>
  <si>
    <t xml:space="preserve">TC-SRCH-01</t>
  </si>
  <si>
    <t xml:space="preserve">Search</t>
  </si>
  <si>
    <t xml:space="preserve">Search by job title (case-insensitive)</t>
  </si>
  <si>
    <t xml:space="preserve">Type a common title word in capitals, click Search jobs</t>
  </si>
  <si>
    <t xml:space="preserve">Only matching jobs; count equals data</t>
  </si>
  <si>
    <t xml:space="preserve">Search 'ENGINEER' (upper case) found 1203 jobs, matching the data; case-insensitive</t>
  </si>
  <si>
    <t xml:space="preserve">TC-SRCH-02</t>
  </si>
  <si>
    <t xml:space="preserve">Search by employer name with Enter key</t>
  </si>
  <si>
    <t xml:space="preserve">Type an employer name, press Enter</t>
  </si>
  <si>
    <t xml:space="preserve">Only that employer's jobs</t>
  </si>
  <si>
    <t xml:space="preserve">Search 'RTX (Collins Aerospace, Pratt &amp; Whitney)' with Enter key found 602 jobs, matching the data</t>
  </si>
  <si>
    <t xml:space="preserve">TC-SRCH-03</t>
  </si>
  <si>
    <t xml:space="preserve">No results and clearing the search</t>
  </si>
  <si>
    <t xml:space="preserve">Type nonsense, then clear the box</t>
  </si>
  <si>
    <t xml:space="preserve">'No jobs match' message; clearing restores all</t>
  </si>
  <si>
    <t xml:space="preserve">No-match search shows the 'No jobs match' message; clearing it restores all jobs</t>
  </si>
  <si>
    <t xml:space="preserve">TC-FLT-01</t>
  </si>
  <si>
    <t xml:space="preserve">Filters</t>
  </si>
  <si>
    <t xml:space="preserve">Country and region filter</t>
  </si>
  <si>
    <t xml:space="preserve">Pick the busiest country, then its region</t>
  </si>
  <si>
    <t xml:space="preserve">Counts equal the data</t>
  </si>
  <si>
    <t xml:space="preserve">Country US: 1754 jobs; region North America: 1887 jobs; both match the data</t>
  </si>
  <si>
    <t xml:space="preserve">TC-FLT-02</t>
  </si>
  <si>
    <t xml:space="preserve">Job role filter</t>
  </si>
  <si>
    <t xml:space="preserve">Pick each role in turn</t>
  </si>
  <si>
    <t xml:space="preserve">Each role matches the data: cargo-logistics=66, corporate=2151, customer-service-sales=108, engineering-maintenance=1240, flight-operations=17, ground-operations=9, pilots=7</t>
  </si>
  <si>
    <t xml:space="preserve">TC-FLT-03</t>
  </si>
  <si>
    <t xml:space="preserve">Work mode filter (single and combined)</t>
  </si>
  <si>
    <t xml:space="preserve">Tick On-site, Hybrid, Remote one at a time, then two together</t>
  </si>
  <si>
    <t xml:space="preserve">Single modes On-site=3266, Hybrid=252, Remote=80; Hybrid+Remote together = 332</t>
  </si>
  <si>
    <t xml:space="preserve">TC-FLT-04</t>
  </si>
  <si>
    <t xml:space="preserve">Posted date filter</t>
  </si>
  <si>
    <t xml:space="preserve">Pick 24h, 48h, week, month, older</t>
  </si>
  <si>
    <t xml:space="preserve">Posted-date filters match the data: 24h=184, 48h=202, week=2168, month=3309, &gt;month=289</t>
  </si>
  <si>
    <t xml:space="preserve">TC-FLT-05</t>
  </si>
  <si>
    <t xml:space="preserve">Employer type filter</t>
  </si>
  <si>
    <t xml:space="preserve">Pick each employer type</t>
  </si>
  <si>
    <t xml:space="preserve">Employer types match: airline=5, airport=17, manufacturer=3576</t>
  </si>
  <si>
    <t xml:space="preserve">TC-FLT-06</t>
  </si>
  <si>
    <t xml:space="preserve">Combined filters, then Clear all</t>
  </si>
  <si>
    <t xml:space="preserve">Set country + role + mode, then Clear all</t>
  </si>
  <si>
    <t xml:space="preserve">Combined count correct; Clear all restores everything</t>
  </si>
  <si>
    <t xml:space="preserve">Country+role+mode together = 1 (matches); Clear all restores 3598</t>
  </si>
  <si>
    <t xml:space="preserve">TC-FLT-08</t>
  </si>
  <si>
    <t xml:space="preserve">Filter counts update with other filters (owner's bug report)</t>
  </si>
  <si>
    <t xml:space="preserve">Tick Remote, read the counts next to each country, region and role; then pick a country and read the Remote count</t>
  </si>
  <si>
    <t xml:space="preserve">Every count reflects the other filters; choices with 0 jobs are greyed out</t>
  </si>
  <si>
    <t xml:space="preserve">With Remote ticked every country, region and role count matches the remote jobs; 34 countries with no remote jobs are greyed out; with US picked the Remote button shows (61)</t>
  </si>
  <si>
    <t xml:space="preserve">TC-FLT-07</t>
  </si>
  <si>
    <t xml:space="preserve">Filters saved in a shareable link</t>
  </si>
  <si>
    <t xml:space="preserve">Open a link with filters, reload</t>
  </si>
  <si>
    <t xml:space="preserve">Filters applied from the link and kept on reload</t>
  </si>
  <si>
    <t xml:space="preserve">A shared link with filters opens with them applied (63 jobs) and survives reload</t>
  </si>
  <si>
    <t xml:space="preserve">TC-SORT-01</t>
  </si>
  <si>
    <t xml:space="preserve">Sorting</t>
  </si>
  <si>
    <t xml:space="preserve">Newest first and Closing soonest</t>
  </si>
  <si>
    <t xml:space="preserve">Check default order, switch to Closing soonest</t>
  </si>
  <si>
    <t xml:space="preserve">Correct order both ways</t>
  </si>
  <si>
    <t xml:space="preserve">Newest-first order correct; Closing-soonest puts 'Associate Engineer – Data Analytics' (closes 2026-10-06) first</t>
  </si>
  <si>
    <t xml:space="preserve">TC-PAGE-01</t>
  </si>
  <si>
    <t xml:space="preserve">Results list</t>
  </si>
  <si>
    <t xml:space="preserve">Show more jobs</t>
  </si>
  <si>
    <t xml:space="preserve">Click Show more until all shown</t>
  </si>
  <si>
    <t xml:space="preserve">25 at a time; button hides at the end</t>
  </si>
  <si>
    <t xml:space="preserve">Shows 25, then 50 after 'Show more'; button disappears after all 3598 are shown</t>
  </si>
  <si>
    <t xml:space="preserve">TC-JOB-01</t>
  </si>
  <si>
    <t xml:space="preserve">Job page</t>
  </si>
  <si>
    <t xml:space="preserve">Job details and Apply button</t>
  </si>
  <si>
    <t xml:space="preserve">Open a job</t>
  </si>
  <si>
    <t xml:space="preserve">Title, employer, dates; Apply opens employer site in new tab</t>
  </si>
  <si>
    <t xml:space="preserve">Job page shows title, employer, dates; Apply goes to globalhr.wd5.myworkdayjobs.com in a new tab</t>
  </si>
  <si>
    <t xml:space="preserve">TC-JOB-02</t>
  </si>
  <si>
    <t xml:space="preserve">Google for Jobs data on job pages</t>
  </si>
  <si>
    <t xml:space="preserve">Read the JobPosting data on 15 job pages</t>
  </si>
  <si>
    <t xml:space="preserve">Valid with title, date, employer, description, location</t>
  </si>
  <si>
    <t xml:space="preserve">Google for Jobs data present and complete on 15 sampled job pages</t>
  </si>
  <si>
    <t xml:space="preserve">TC-JOB-04</t>
  </si>
  <si>
    <t xml:space="preserve">Apply links reach each employer's site</t>
  </si>
  <si>
    <t xml:space="preserve">For one job per employer, follow the Apply link</t>
  </si>
  <si>
    <t xml:space="preserve">Employer page answers without error</t>
  </si>
  <si>
    <t xml:space="preserve">Apply links reach the employer for all 10 employers: RTX (Collins Aerospace, Pratt &amp; Whitney): 200 (globalhr.wd5.myworkdayjobs.com); Rolls-Royce: 200 (rollsroyce.wd3.myworkdayjobs.com); Honeywell: 200 (ibqbjb.fa.ocs.oraclecloud.com); GE Aerospace: 200 (geaerospace.wd5.myworkdayjobs.com); Boeing: 200 (boeing.wd1.myworkdayjobs.com); Airbus: 200 (ag.wd3.myworkdayjobs.com); Virgin Atlantic: 200 (iagime.fa.ocs.oraclecloud.com); Skyryse: 200 (job-boards.greenhouse.io); Archer Aviation: 200 (job-boards.greenhouse.io); Heathrow Airport: 200 (encd.fa.em3.oraclecloud.com)</t>
  </si>
  <si>
    <t xml:space="preserve">TC-JOB-03</t>
  </si>
  <si>
    <t xml:space="preserve">Breadcrumbs and similar jobs</t>
  </si>
  <si>
    <t xml:space="preserve">Click each breadcrumb; click a similar job</t>
  </si>
  <si>
    <t xml:space="preserve">All links work</t>
  </si>
  <si>
    <t xml:space="preserve">3 breadcrumb links work; 5 similar jobs listed and clickable</t>
  </si>
  <si>
    <t xml:space="preserve">TC-LIST-01</t>
  </si>
  <si>
    <t xml:space="preserve">Listing pages</t>
  </si>
  <si>
    <t xml:space="preserve">Employer page and its filter link</t>
  </si>
  <si>
    <t xml:space="preserve">Open an employer page, click 'Filter these jobs'</t>
  </si>
  <si>
    <t xml:space="preserve">Counts match; board opens filtered to that employer</t>
  </si>
  <si>
    <t xml:space="preserve">Employer page lists 100 jobs; its filter link opens the board filtered to that employer (602)</t>
  </si>
  <si>
    <t xml:space="preserve">TC-LIST-02</t>
  </si>
  <si>
    <t xml:space="preserve">Countries index</t>
  </si>
  <si>
    <t xml:space="preserve">Open Countries, click the first country</t>
  </si>
  <si>
    <t xml:space="preserve">Country page opens</t>
  </si>
  <si>
    <t xml:space="preserve">Countries index opens 'Kuwait' page correctly</t>
  </si>
  <si>
    <t xml:space="preserve">TC-SEO-01</t>
  </si>
  <si>
    <t xml:space="preserve">SEO and AdSense readiness</t>
  </si>
  <si>
    <t xml:space="preserve">Sitemap, robots.txt, canonical, descriptions</t>
  </si>
  <si>
    <t xml:space="preserve">Read sitemap.xml, robots.txt and page tags</t>
  </si>
  <si>
    <t xml:space="preserve">All present and on aerojobs.work</t>
  </si>
  <si>
    <t xml:space="preserve">Sitemap has 3669 pages on https://aerojobs.work; robots.txt points to it; canonical and descriptions present</t>
  </si>
  <si>
    <t xml:space="preserve">TC-SEO-02</t>
  </si>
  <si>
    <t xml:space="preserve">Home-screen manifest and icons</t>
  </si>
  <si>
    <t xml:space="preserve">Request manifest and icons</t>
  </si>
  <si>
    <t xml:space="preserve">All load</t>
  </si>
  <si>
    <t xml:space="preserve">Home-screen manifest, icons and banner image all load</t>
  </si>
  <si>
    <t xml:space="preserve">TC-A11Y-01</t>
  </si>
  <si>
    <t xml:space="preserve">Accessibility</t>
  </si>
  <si>
    <t xml:space="preserve">Basic accessibility</t>
  </si>
  <si>
    <t xml:space="preserve">Check labels, alt text, headings, keyboard skip link</t>
  </si>
  <si>
    <t xml:space="preserve">No issues</t>
  </si>
  <si>
    <t xml:space="preserve">Language set, images have alt text, every field has a label, one h1, 'Skip to content' is first on Tab</t>
  </si>
  <si>
    <t xml:space="preserve">TC-PERF-01</t>
  </si>
  <si>
    <t xml:space="preserve">Performance</t>
  </si>
  <si>
    <t xml:space="preserve">Non-functional</t>
  </si>
  <si>
    <t xml:space="preserve">Home page speed</t>
  </si>
  <si>
    <t xml:space="preserve">Load home page until search is ready</t>
  </si>
  <si>
    <t xml:space="preserve">Under 6 seconds</t>
  </si>
  <si>
    <t xml:space="preserve">Home page with search ready in 0.4s; job list download 1217 KB</t>
  </si>
  <si>
    <t xml:space="preserve">TC-JS-01</t>
  </si>
  <si>
    <t xml:space="preserve">Reliability</t>
  </si>
  <si>
    <t xml:space="preserve">No JavaScript errors</t>
  </si>
  <si>
    <t xml:space="preserve">Open home and a job page, watch the console</t>
  </si>
  <si>
    <t xml:space="preserve">No errors</t>
  </si>
  <si>
    <t xml:space="preserve">webkit / Desktop 1366px: /aerojobs.work/cdn-cgi/rum? due to access control checks.; /aerojobs.work/cdn-cgi/rum? due to access control checks.</t>
  </si>
  <si>
    <t xml:space="preserve">TC-MOB-01</t>
  </si>
  <si>
    <t xml:space="preserve">Phones</t>
  </si>
  <si>
    <t xml:space="preserve">No sideways scrolling</t>
  </si>
  <si>
    <t xml:space="preserve">Open 4 page types at 320–768px wide</t>
  </si>
  <si>
    <t xml:space="preserve">Page never scrolls sideways</t>
  </si>
  <si>
    <t xml:space="preserve">No sideways scrolling on 4 pages at widths 320, 360, 390, 412, 768px</t>
  </si>
  <si>
    <t xml:space="preserve">TC-MOB-02</t>
  </si>
  <si>
    <t xml:space="preserve">Phone menu</t>
  </si>
  <si>
    <t xml:space="preserve">Tap the menu button, press Escape</t>
  </si>
  <si>
    <t xml:space="preserve">Menu opens and closes</t>
  </si>
  <si>
    <t xml:space="preserve">Menu opens with the button and closes with Escape</t>
  </si>
  <si>
    <t xml:space="preserve">TC-MOB-03</t>
  </si>
  <si>
    <t xml:space="preserve">Filter panel on phones</t>
  </si>
  <si>
    <t xml:space="preserve">Open Filters, pick a role, tap outside</t>
  </si>
  <si>
    <t xml:space="preserve">Panel opens, shows live count, badge 1, closes</t>
  </si>
  <si>
    <t xml:space="preserve">Filter panel opens, shows 'Show 66 jobs', badge shows 1, closes when tapping outside</t>
  </si>
  <si>
    <t xml:space="preserve">TC-MOB-04</t>
  </si>
  <si>
    <t xml:space="preserve">Sticky Apply button</t>
  </si>
  <si>
    <t xml:space="preserve">Open a job on a phone</t>
  </si>
  <si>
    <t xml:space="preserve">Apply button pinned to the bottom</t>
  </si>
  <si>
    <t xml:space="preserve">Apply button is pinned to the bottom of the phone screen</t>
  </si>
  <si>
    <t xml:space="preserve">TC-MOB-05</t>
  </si>
  <si>
    <t xml:space="preserve">No zoom when typing on iPhone</t>
  </si>
  <si>
    <t xml:space="preserve">Check text size of search box and menus</t>
  </si>
  <si>
    <t xml:space="preserve">At least 16px</t>
  </si>
  <si>
    <t xml:space="preserve">Search box 16px and menus 16px: iPhones won't zoom in when typing</t>
  </si>
  <si>
    <t xml:space="preserve">TC-MOB-06</t>
  </si>
  <si>
    <t xml:space="preserve">Tap targets big enough</t>
  </si>
  <si>
    <t xml:space="preserve">Measure buttons and chips</t>
  </si>
  <si>
    <t xml:space="preserve">At least 36px tall</t>
  </si>
  <si>
    <t xml:space="preserve">Buttons, chips and menus are at least 36px tall</t>
  </si>
  <si>
    <t xml:space="preserve">Attack or method</t>
  </si>
  <si>
    <t xml:space="preserve">Severity if failed</t>
  </si>
  <si>
    <t xml:space="preserve">SEC-01</t>
  </si>
  <si>
    <t xml:space="preserve">Transport</t>
  </si>
  <si>
    <t xml:space="preserve">Plain http redirects to https</t>
  </si>
  <si>
    <t xml:space="preserve">Request http://</t>
  </si>
  <si>
    <t xml:space="preserve">Redirect to https</t>
  </si>
  <si>
    <t xml:space="preserve">-</t>
  </si>
  <si>
    <t xml:space="preserve">HTTP 301 -&gt; https://aerojobs.work/</t>
  </si>
  <si>
    <t xml:space="preserve">SEC-02</t>
  </si>
  <si>
    <t xml:space="preserve">HSTS header</t>
  </si>
  <si>
    <t xml:space="preserve">Read response headers</t>
  </si>
  <si>
    <t xml:space="preserve">max-age of at least 6 months</t>
  </si>
  <si>
    <t xml:space="preserve">max-age=31536000; includeSubDomains</t>
  </si>
  <si>
    <t xml:space="preserve">SEC-03</t>
  </si>
  <si>
    <t xml:space="preserve">Old TLS versions refused</t>
  </si>
  <si>
    <t xml:space="preserve">Connect with TLS 1.0 and 1.1</t>
  </si>
  <si>
    <t xml:space="preserve">Both refused</t>
  </si>
  <si>
    <t xml:space="preserve">TLS 1.0 refused, TLS 1.1 refused</t>
  </si>
  <si>
    <t xml:space="preserve">SEC-04</t>
  </si>
  <si>
    <t xml:space="preserve">Valid TLS certificate</t>
  </si>
  <si>
    <t xml:space="preserve">Verify the certificate chain</t>
  </si>
  <si>
    <t xml:space="preserve">Trusted and in date</t>
  </si>
  <si>
    <t xml:space="preserve">valid, issued to aerojobs.work, expires Jan  3 09:21:33 2027 GMT, TLSv1.3</t>
  </si>
  <si>
    <t xml:space="preserve">SEC-05</t>
  </si>
  <si>
    <t xml:space="preserve">Security headers</t>
  </si>
  <si>
    <t xml:space="preserve">content-security-policy header</t>
  </si>
  <si>
    <t xml:space="preserve">Contains 'frame-ancestors'</t>
  </si>
  <si>
    <t xml:space="preserve">default-src 'self' https: data:; script-src 'self' 'unsafe-inline' https:; style-src 'self' 'unsafe-inline' https:; img-src 'self' https: data:; object-src 'none'; base-uri 'self'; form-action 'self'; frame-ancestors 'self'; upgrade-insecure-requests</t>
  </si>
  <si>
    <t xml:space="preserve">SEC-06</t>
  </si>
  <si>
    <t xml:space="preserve">x-frame-options header</t>
  </si>
  <si>
    <t xml:space="preserve">Contains 'SAMEORIGIN'</t>
  </si>
  <si>
    <t xml:space="preserve">SAMEORIGIN</t>
  </si>
  <si>
    <t xml:space="preserve">SEC-07</t>
  </si>
  <si>
    <t xml:space="preserve">x-content-type-options header</t>
  </si>
  <si>
    <t xml:space="preserve">Contains 'nosniff'</t>
  </si>
  <si>
    <t xml:space="preserve">nosniff</t>
  </si>
  <si>
    <t xml:space="preserve">SEC-08</t>
  </si>
  <si>
    <t xml:space="preserve">referrer-policy header</t>
  </si>
  <si>
    <t xml:space="preserve">Contains 'strict-origin'</t>
  </si>
  <si>
    <t xml:space="preserve">strict-origin-when-cross-origin</t>
  </si>
  <si>
    <t xml:space="preserve">SEC-09</t>
  </si>
  <si>
    <t xml:space="preserve">permissions-policy header</t>
  </si>
  <si>
    <t xml:space="preserve">Contains 'camera=()'</t>
  </si>
  <si>
    <t xml:space="preserve">camera=(), microphone=(), geolocation=(), payment=(), usb=()</t>
  </si>
  <si>
    <t xml:space="preserve">SEC-10</t>
  </si>
  <si>
    <t xml:space="preserve">Information disclosure</t>
  </si>
  <si>
    <t xml:space="preserve">No software version leaks in headers</t>
  </si>
  <si>
    <t xml:space="preserve">No X-Powered-By and similar</t>
  </si>
  <si>
    <t xml:space="preserve">Server: cloudflare; no technology leaks</t>
  </si>
  <si>
    <t xml:space="preserve">SEC-11</t>
  </si>
  <si>
    <t xml:space="preserve">Session</t>
  </si>
  <si>
    <t xml:space="preserve">No cookies or logins to steal</t>
  </si>
  <si>
    <t xml:space="preserve">Check Set-Cookie</t>
  </si>
  <si>
    <t xml:space="preserve">None set</t>
  </si>
  <si>
    <t xml:space="preserve">No cookies set by the site itself</t>
  </si>
  <si>
    <t xml:space="preserve">SEC-12</t>
  </si>
  <si>
    <t xml:space="preserve">Exposed files</t>
  </si>
  <si>
    <t xml:space="preserve">Private files not downloadable</t>
  </si>
  <si>
    <t xml:space="preserve">Request .git, .env, config, code and raw data files</t>
  </si>
  <si>
    <t xml:space="preserve">All return the 404 page</t>
  </si>
  <si>
    <t xml:space="preserve">15 private paths tried; exposed: none</t>
  </si>
  <si>
    <t xml:space="preserve">SEC-13</t>
  </si>
  <si>
    <t xml:space="preserve">No directory listings</t>
  </si>
  <si>
    <t xml:space="preserve">Request folder addresses</t>
  </si>
  <si>
    <t xml:space="preserve">No file lists shown</t>
  </si>
  <si>
    <t xml:space="preserve">directory listings: none</t>
  </si>
  <si>
    <t xml:space="preserve">SEC-14</t>
  </si>
  <si>
    <t xml:space="preserve">Injection</t>
  </si>
  <si>
    <t xml:space="preserve">Path traversal</t>
  </si>
  <si>
    <t xml:space="preserve">Encoded ../ sequences</t>
  </si>
  <si>
    <t xml:space="preserve">No system or config files returned</t>
  </si>
  <si>
    <t xml:space="preserve">path traversal attempts all blocked</t>
  </si>
  <si>
    <t xml:space="preserve">SEC-15</t>
  </si>
  <si>
    <t xml:space="preserve">HTTP methods</t>
  </si>
  <si>
    <t xml:space="preserve">Write methods do nothing</t>
  </si>
  <si>
    <t xml:space="preserve">Send POST, PUT, DELETE, PATCH</t>
  </si>
  <si>
    <t xml:space="preserve">Rejected or ignored; site unchanged</t>
  </si>
  <si>
    <t xml:space="preserve">POST 405, PUT 405, DELETE 405, PATCH 405; site unchanged afterwards</t>
  </si>
  <si>
    <t xml:space="preserve">SEC-16</t>
  </si>
  <si>
    <t xml:space="preserve">Robustness</t>
  </si>
  <si>
    <t xml:space="preserve">Very long query string</t>
  </si>
  <si>
    <t xml:space="preserve">6,000-character search parameter</t>
  </si>
  <si>
    <t xml:space="preserve">No server error</t>
  </si>
  <si>
    <t xml:space="preserve">HTTP 200</t>
  </si>
  <si>
    <t xml:space="preserve">SEC-17</t>
  </si>
  <si>
    <t xml:space="preserve">Open redirect</t>
  </si>
  <si>
    <t xml:space="preserve">Redirect-style parameters to an outside site</t>
  </si>
  <si>
    <t xml:space="preserve">Never redirected</t>
  </si>
  <si>
    <t xml:space="preserve">no redirects to outside sites</t>
  </si>
  <si>
    <t xml:space="preserve">SEC-18</t>
  </si>
  <si>
    <t xml:space="preserve">No mixed content</t>
  </si>
  <si>
    <t xml:space="preserve">Scan home page for http:// resources</t>
  </si>
  <si>
    <t xml:space="preserve">All resources https</t>
  </si>
  <si>
    <t xml:space="preserve">insecure resources: none</t>
  </si>
  <si>
    <t xml:space="preserve">SEC-19</t>
  </si>
  <si>
    <t xml:space="preserve">Cross-site scripting</t>
  </si>
  <si>
    <t xml:space="preserve">Reflected XSS through URL parameters</t>
  </si>
  <si>
    <t xml:space="preserve">Script and HTML payloads in q, country, role, mode, sort, company</t>
  </si>
  <si>
    <t xml:space="preserve">No script runs; text shown as text</t>
  </si>
  <si>
    <t xml:space="preserve">6 payloads in 6 URL parameters; alerts fired: 0; page still works: True</t>
  </si>
  <si>
    <t xml:space="preserve">SEC-20</t>
  </si>
  <si>
    <t xml:space="preserve">XSS typed into the search box</t>
  </si>
  <si>
    <t xml:space="preserve">Type the payloads and press Enter</t>
  </si>
  <si>
    <t xml:space="preserve">No script runs</t>
  </si>
  <si>
    <t xml:space="preserve">alerts fired: 0; the box keeps the text as typed ('" ; DROP TABLE jobs; --')</t>
  </si>
  <si>
    <t xml:space="preserve">SEC-21</t>
  </si>
  <si>
    <t xml:space="preserve">SQL injection</t>
  </si>
  <si>
    <t xml:space="preserve">' OR 1=1 -- in the search</t>
  </si>
  <si>
    <t xml:space="preserve">No error, no data leak</t>
  </si>
  <si>
    <t xml:space="preserve">no database to inject into; page shows '0 of 3,598 jobs'</t>
  </si>
  <si>
    <t xml:space="preserve">SEC-22</t>
  </si>
  <si>
    <t xml:space="preserve">Clickjacking</t>
  </si>
  <si>
    <t xml:space="preserve">Site cannot be framed by other sites</t>
  </si>
  <si>
    <t xml:space="preserve">Embed the site in an iframe on another page</t>
  </si>
  <si>
    <t xml:space="preserve">Browser refuses to show it</t>
  </si>
  <si>
    <t xml:space="preserve">another site cannot show AeroJobs inside a frame; frame url chrome-error://chromewebdata/; headers seen {'status': 200, 'xfo': 'SAMEORIGIN', 'csp': True}</t>
  </si>
  <si>
    <t xml:space="preserve">SEC-23</t>
  </si>
  <si>
    <t xml:space="preserve">Denial of service</t>
  </si>
  <si>
    <t xml:space="preserve">Flood / DDoS resistance</t>
  </si>
  <si>
    <t xml:space="preserve">Not attempted (would attack Cloudflare's network)</t>
  </si>
  <si>
    <t xml:space="preserve">Handled by Cloudflare's free DDoS protection</t>
  </si>
  <si>
    <t xml:space="preserve">Not tested on purpose; static files on Cloudflare's network</t>
  </si>
  <si>
    <t xml:space="preserve">SEC-24</t>
  </si>
  <si>
    <t xml:space="preserve">Unsafe Apply link from an employer site is dropped</t>
  </si>
  <si>
    <t xml:space="preserve">Job whose Apply link is javascript:alert()</t>
  </si>
  <si>
    <t xml:space="preserve">Job not published</t>
  </si>
  <si>
    <t xml:space="preserve">2 jobs received, 1 published; the javascript: one was rejected</t>
  </si>
  <si>
    <t xml:space="preserve">SEC-25</t>
  </si>
  <si>
    <t xml:space="preserve">Job data with HTML/script is escaped in pages</t>
  </si>
  <si>
    <t xml:space="preserve">Script tags in job title, employer name, location and link</t>
  </si>
  <si>
    <t xml:space="preserve">Shown as text; Google data cannot break out</t>
  </si>
  <si>
    <t xml:space="preserve">no raw &lt;script&gt; in the page; structured data stays valid JSON</t>
  </si>
  <si>
    <t xml:space="preserve">SEC-26</t>
  </si>
  <si>
    <t xml:space="preserve">Stored XSS through job data in the browser</t>
  </si>
  <si>
    <t xml:space="preserve">Open home, job and employer pages and search results built from hostile data</t>
  </si>
  <si>
    <t xml:space="preserve">alerts fired: 0; title shown as text: 'Pilot &lt;script&gt;alert("t")&lt;/script&gt;&lt;img src=x onerror=alert("t'</t>
  </si>
  <si>
    <t xml:space="preserve">SEC-27</t>
  </si>
  <si>
    <t xml:space="preserve">Secrets</t>
  </si>
  <si>
    <t xml:space="preserve">No secrets in the code history</t>
  </si>
  <si>
    <t xml:space="preserve">Scan every commit for keys and tokens</t>
  </si>
  <si>
    <t xml:space="preserve">None found; keys live only in GitHub Secrets</t>
  </si>
  <si>
    <t xml:space="preserve">no keys or tokens found in any commit</t>
  </si>
  <si>
    <t xml:space="preserve">SEC-28</t>
  </si>
  <si>
    <t xml:space="preserve">Software supply chain</t>
  </si>
  <si>
    <t xml:space="preserve">Known vulnerabilities in the software the site uses</t>
  </si>
  <si>
    <t xml:space="preserve">pip-audit against the public vulnerability database</t>
  </si>
  <si>
    <t xml:space="preserve">No known vulnerabilities</t>
  </si>
  <si>
    <t xml:space="preserve">16 packages checked, 0 known vulnerabilities</t>
  </si>
  <si>
    <t xml:space="preserve">SEC-29</t>
  </si>
  <si>
    <t xml:space="preserve">Automation steps pinned and limited</t>
  </si>
  <si>
    <t xml:space="preserve">Review the GitHub workflows</t>
  </si>
  <si>
    <t xml:space="preserve">Third-party steps pinned to exact versions; minimal permissions; inputs passed safely</t>
  </si>
  <si>
    <t xml:space="preserve">All third-party steps pinned to exact commit IDs; workflows only get 'contents' and 'issues' write access; Dependabot watches for updates</t>
  </si>
  <si>
    <t xml:space="preserve">Defect ID</t>
  </si>
  <si>
    <t xml:space="preserve">Found by</t>
  </si>
  <si>
    <t xml:space="preserve">Severity</t>
  </si>
  <si>
    <t xml:space="preserve">Problem</t>
  </si>
  <si>
    <t xml:space="preserve">Details</t>
  </si>
  <si>
    <t xml:space="preserve">What was done</t>
  </si>
  <si>
    <t xml:space="preserve">Status</t>
  </si>
  <si>
    <t xml:space="preserve">Re-test</t>
  </si>
  <si>
    <t xml:space="preserve">DEF-01</t>
  </si>
  <si>
    <t xml:space="preserve">Functional test TC-PAGE-01</t>
  </si>
  <si>
    <t xml:space="preserve">High</t>
  </si>
  <si>
    <t xml:space="preserve">'Show more jobs' button never disappears</t>
  </si>
  <si>
    <t xml:space="preserve">The button stayed on screen even after every job was shown, because a style rule overrode the page's 'hidden' setting.</t>
  </si>
  <si>
    <t xml:space="preserve">Added a site-wide rule so anything the page hides stays hidden.</t>
  </si>
  <si>
    <t xml:space="preserve">Fixed</t>
  </si>
  <si>
    <t xml:space="preserve">DEF-02</t>
  </si>
  <si>
    <t xml:space="preserve">Phone test TC-MOB-01 / TC-FLT-02</t>
  </si>
  <si>
    <t xml:space="preserve">On phones, page became wider than the screen after filtering</t>
  </si>
  <si>
    <t xml:space="preserve">After choosing a filter, the sort menu grew wider than a 412px phone screen. The page zoomed out and pushed the 'Show jobs' button off the bottom of the screen.</t>
  </si>
  <si>
    <t xml:space="preserve">Sort menu now shrinks to fit on all phones and tablets; filter labels can no longer widen the panel. Test extended to check the button stays on screen.</t>
  </si>
  <si>
    <t xml:space="preserve">DEF-03</t>
  </si>
  <si>
    <t xml:space="preserve">Security test SEC-25</t>
  </si>
  <si>
    <t xml:space="preserve">Medium</t>
  </si>
  <si>
    <t xml:space="preserve">Job text from employers could add markup to Google's job data</t>
  </si>
  <si>
    <t xml:space="preserve">Job titles were placed in Google's JobPosting description without escaping, so hostile text from an employer site could insert HTML into Google's listing.</t>
  </si>
  <si>
    <t xml:space="preserve">All &lt; &gt; &amp; characters in Google's job data are now escaped, and the description text is escaped.</t>
  </si>
  <si>
    <t xml:space="preserve">DEF-04</t>
  </si>
  <si>
    <t xml:space="preserve">Data check after first real fetch</t>
  </si>
  <si>
    <t xml:space="preserve">44% of real jobs had no country, so the Country filter missed them</t>
  </si>
  <si>
    <t xml:space="preserve">Employers write locations in many styles: company codes (US-GA-MACON-…), 'Toulouse Area', or just a town name.</t>
  </si>
  <si>
    <t xml:space="preserve">Added reading of company location codes and a worldwide town list (GeoNames, towns of 5,000+ people), preferring the employer's home country when a town name exists in several countries.</t>
  </si>
  <si>
    <t xml:space="preserve">DEF-05</t>
  </si>
  <si>
    <t xml:space="preserve">Many jobs fell into 'Corporate' because titles were unclear or not in English</t>
  </si>
  <si>
    <t xml:space="preserve">Rules only knew English words, and manufacturing roles (assembly, CNC, welding) had no group.</t>
  </si>
  <si>
    <t xml:space="preserve">Added German, French and Spanish trade words and manufacturing roles to Engineering and MRO. Remaining unclear titles still default to Corporate; turning on AI sorting (Anthropic key with a $5 limit) would sort them properly.</t>
  </si>
  <si>
    <t xml:space="preserve">Partly fixed</t>
  </si>
  <si>
    <t xml:space="preserve">See Data quality</t>
  </si>
  <si>
    <t xml:space="preserve">DEF-06</t>
  </si>
  <si>
    <t xml:space="preserve">Visual check of live screenshots</t>
  </si>
  <si>
    <t xml:space="preserve">RTX job locations showed raw internal codes</t>
  </si>
  <si>
    <t xml:space="preserve">Locations appeared as 'IN-KA-BENGALURU-BLDG 1 ~ Hitech, Defence &amp; Aerospace Park ~ …'.</t>
  </si>
  <si>
    <t xml:space="preserve">Coded locations are now shown as 'Bengaluru, India'. 13 older jobs keep the old text until their next update.</t>
  </si>
  <si>
    <t xml:space="preserve">DEF-07</t>
  </si>
  <si>
    <t xml:space="preserve">Browser test TC-JS-01 (Safari engine)</t>
  </si>
  <si>
    <t xml:space="preserve">Low</t>
  </si>
  <si>
    <t xml:space="preserve">Cloudflare's own visitor-analytics script is blocked in Safari</t>
  </si>
  <si>
    <t xml:space="preserve">Cloudflare automatically adds a Web Analytics script (/cdn-cgi/rum). Safari blocks its report, which shows as console errors. Visitors see no difference.</t>
  </si>
  <si>
    <t xml:space="preserve">Owner choice: turn off Web Analytics for the aerojobs project in Cloudflare if Google Analytics will be used instead, or ignore.</t>
  </si>
  <si>
    <t xml:space="preserve">Known issue</t>
  </si>
  <si>
    <t xml:space="preserve">DEF-08</t>
  </si>
  <si>
    <t xml:space="preserve">Security test SEC-22</t>
  </si>
  <si>
    <t xml:space="preserve">Clickjacking check reported a failure in the first run (test issue, not a site issue)</t>
  </si>
  <si>
    <t xml:space="preserve">The first run counted Chrome's 'refused to connect' error page as the site loading inside another site's frame. The site was protected all along.</t>
  </si>
  <si>
    <t xml:space="preserve">Test corrected to check the frame's real content and the headers received. Re-test confirms the browser refuses to show AeroJobs inside other sites (X-Frame-Options SAMEORIGIN, CSP frame-ancestors 'self').</t>
  </si>
  <si>
    <t xml:space="preserve">Closed</t>
  </si>
  <si>
    <t xml:space="preserve">DEF-12</t>
  </si>
  <si>
    <t xml:space="preserve">Owner (black-box test)</t>
  </si>
  <si>
    <t xml:space="preserve">Filter counts did not update when other filters were selected</t>
  </si>
  <si>
    <t xml:space="preserve">Steps: tick Remote, open Country. India still showed (225), its total, although it has no remote jobs. The counts were fixed when the site was built.</t>
  </si>
  <si>
    <t xml:space="preserve">Every count next to country, region, role, posted date, employer type and the work-mode buttons is now recalculated from the other active filters; choices with 0 jobs are greyed out. New test TC-FLT-08 repeats the reported steps.</t>
  </si>
  <si>
    <t xml:space="preserve">DEF-09</t>
  </si>
  <si>
    <t xml:space="preserve">Data review</t>
  </si>
  <si>
    <t xml:space="preserve">Some employers post many non-aviation jobs</t>
  </si>
  <si>
    <t xml:space="preserve">Honeywell (building tech, IT, HVAC) and RTX (Raytheon defence) list jobs outside aviation.</t>
  </si>
  <si>
    <t xml:space="preserve">Owner choice: keep, drop Honeywell, or add a per-employer filter that keeps only aerospace business units (can be built).</t>
  </si>
  <si>
    <t xml:space="preserve">Owner decision</t>
  </si>
  <si>
    <t xml:space="preserve">DEF-10</t>
  </si>
  <si>
    <t xml:space="preserve">Capacity review</t>
  </si>
  <si>
    <t xml:space="preserve">Free hosting limit of 20,000 files per site</t>
  </si>
  <si>
    <t xml:space="preserve">Each job is one page. Today: 3,668 files. At roughly 19,000 jobs the site would hit Cloudflare's free limit; the job list download is 1.2 MB (185 KB compressed).</t>
  </si>
  <si>
    <t xml:space="preserve">Cap kept at 600 jobs per employer while testing. Before growing past about 15,000 jobs, change job pages to be generated on demand (Cloudflare Functions, still free).</t>
  </si>
  <si>
    <t xml:space="preserve">Planned</t>
  </si>
  <si>
    <t xml:space="preserve">DEF-11</t>
  </si>
  <si>
    <t xml:space="preserve">Coverage review</t>
  </si>
  <si>
    <t xml:space="preserve">Few airline jobs in this first set of 10 employers</t>
  </si>
  <si>
    <t xml:space="preserve">Most airlines either forbid automated reading in their robots.txt (American, Delta, KLM, Qantas, IndiGo, flydubai, Alaska, Etihad, Wizz Air) or use systems not yet supported (SuccessFactors, Taleo, iCIMS). Only 7 pilot jobs and 0 cabin crew jobs today.</t>
  </si>
  <si>
    <t xml:space="preserve">Next: add SuccessFactors and Taleo readers (JetBlue, Ryanair, Qatar Airways, easyJet) and run the .aero directory tool.</t>
  </si>
  <si>
    <t xml:space="preserve">Employer</t>
  </si>
  <si>
    <t xml:space="preserve">Type</t>
  </si>
  <si>
    <t xml:space="preserve">Head office</t>
  </si>
  <si>
    <t xml:space="preserve">Hiring system</t>
  </si>
  <si>
    <t xml:space="preserve">Live jobs</t>
  </si>
  <si>
    <t xml:space="preserve">Jobs with country</t>
  </si>
  <si>
    <t xml:space="preserve">% with country</t>
  </si>
  <si>
    <t xml:space="preserve">Countries</t>
  </si>
  <si>
    <t xml:space="preserve">Role unclear (Corporate by default)</t>
  </si>
  <si>
    <t xml:space="preserve">% unclear</t>
  </si>
  <si>
    <t xml:space="preserve">Jobs with closing date</t>
  </si>
  <si>
    <t xml:space="preserve">Apply link check</t>
  </si>
  <si>
    <t xml:space="preserve">Airbus</t>
  </si>
  <si>
    <t xml:space="preserve">Manufacturer</t>
  </si>
  <si>
    <t xml:space="preserve">France</t>
  </si>
  <si>
    <t xml:space="preserve">Workday</t>
  </si>
  <si>
    <t xml:space="preserve">Boeing</t>
  </si>
  <si>
    <t xml:space="preserve">United States</t>
  </si>
  <si>
    <t xml:space="preserve">RTX (Collins Aerospace, Pratt &amp; Whitney)</t>
  </si>
  <si>
    <t xml:space="preserve">GE Aerospace</t>
  </si>
  <si>
    <t xml:space="preserve">Rolls-Royce</t>
  </si>
  <si>
    <t xml:space="preserve">United Kingdom</t>
  </si>
  <si>
    <t xml:space="preserve">Honeywell</t>
  </si>
  <si>
    <t xml:space="preserve">Oracle Recruiting Cloud</t>
  </si>
  <si>
    <t xml:space="preserve">Archer Aviation</t>
  </si>
  <si>
    <t xml:space="preserve">Manufacturer (eVTOL)</t>
  </si>
  <si>
    <t xml:space="preserve">Greenhouse</t>
  </si>
  <si>
    <t xml:space="preserve">Skyryse</t>
  </si>
  <si>
    <t xml:space="preserve">Manufacturer (flight tech)</t>
  </si>
  <si>
    <t xml:space="preserve">Virgin Atlantic</t>
  </si>
  <si>
    <t xml:space="preserve">Airline</t>
  </si>
  <si>
    <t xml:space="preserve">Heathrow Airport</t>
  </si>
  <si>
    <t xml:space="preserve">Airport</t>
  </si>
  <si>
    <t xml:space="preserve">Jobs capped at 600 per employer per run while testing. Live data as of the re-test run on 5 Oct 2026.</t>
  </si>
  <si>
    <t xml:space="preserve">Hiring system tried</t>
  </si>
  <si>
    <t xml:space="preserve">Why not switched on</t>
  </si>
  <si>
    <t xml:space="preserve">workday</t>
  </si>
  <si>
    <t xml:space="preserve">Address guessed for the test was refused (HTTP 422/401)</t>
  </si>
  <si>
    <t xml:space="preserve">Bombardier</t>
  </si>
  <si>
    <t xml:space="preserve">Spirit AeroSystems</t>
  </si>
  <si>
    <t xml:space="preserve">Textron Aviation</t>
  </si>
  <si>
    <t xml:space="preserve">Embraer</t>
  </si>
  <si>
    <t xml:space="preserve">AAR</t>
  </si>
  <si>
    <t xml:space="preserve">Alaska Airlines</t>
  </si>
  <si>
    <t xml:space="preserve">Air Canada</t>
  </si>
  <si>
    <t xml:space="preserve">Qantas</t>
  </si>
  <si>
    <t xml:space="preserve">Address guessed for the test does not exist (HTTP 404)</t>
  </si>
  <si>
    <t xml:space="preserve">easyJet</t>
  </si>
  <si>
    <t xml:space="preserve">JetBlue</t>
  </si>
  <si>
    <t xml:space="preserve">Joby Aviation</t>
  </si>
  <si>
    <t xml:space="preserve">greenhouse</t>
  </si>
  <si>
    <t xml:space="preserve">Wisk Aero</t>
  </si>
  <si>
    <t xml:space="preserve">Boom Supersonic</t>
  </si>
  <si>
    <t xml:space="preserve">Hermeus</t>
  </si>
  <si>
    <t xml:space="preserve">BETA Technologies</t>
  </si>
  <si>
    <t xml:space="preserve">Reliable Robotics</t>
  </si>
  <si>
    <t xml:space="preserve">Blade Air Mobility</t>
  </si>
  <si>
    <t xml:space="preserve">JSX</t>
  </si>
  <si>
    <t xml:space="preserve">Wheels Up</t>
  </si>
  <si>
    <t xml:space="preserve">Surf Air Mobility</t>
  </si>
  <si>
    <t xml:space="preserve">Merlin Labs</t>
  </si>
  <si>
    <t xml:space="preserve">Electra.aero</t>
  </si>
  <si>
    <t xml:space="preserve">ZeroAvia</t>
  </si>
  <si>
    <t xml:space="preserve">lever</t>
  </si>
  <si>
    <t xml:space="preserve">Skyports</t>
  </si>
  <si>
    <t xml:space="preserve">Vertical Aerospace</t>
  </si>
  <si>
    <t xml:space="preserve">Wizz Air</t>
  </si>
  <si>
    <t xml:space="preserve">smartrecruiters</t>
  </si>
  <si>
    <t xml:space="preserve">Their robots.txt forbids automated reading - respected</t>
  </si>
  <si>
    <t xml:space="preserve">Swissport</t>
  </si>
  <si>
    <t xml:space="preserve">Menzies Aviation</t>
  </si>
  <si>
    <t xml:space="preserve">dnata</t>
  </si>
  <si>
    <t xml:space="preserve">Etihad Airways</t>
  </si>
  <si>
    <t xml:space="preserve">SmartLynx Airlines</t>
  </si>
  <si>
    <t xml:space="preserve">flydubai</t>
  </si>
  <si>
    <t xml:space="preserve">jsonld</t>
  </si>
  <si>
    <t xml:space="preserve">American Airlines, Delta, KLM, Qantas, IndiGo, LATAM, Ethiopian, AAR, Lufthansa Technik</t>
  </si>
  <si>
    <t xml:space="preserve">careers page</t>
  </si>
  <si>
    <t xml:space="preserve">Careers site's robots.txt forbids automated reading - respected</t>
  </si>
  <si>
    <t xml:space="preserve">JetBlue, Ryanair, Wizz Air</t>
  </si>
  <si>
    <t xml:space="preserve">Use SAP SuccessFactors: reader not built yet</t>
  </si>
  <si>
    <t xml:space="preserve">Qatar Airways, easyJet</t>
  </si>
  <si>
    <t xml:space="preserve">Use Oracle Taleo: reader not built yet</t>
  </si>
  <si>
    <t xml:space="preserve">United, Southwest, Air Canada, Emirates, British Airways, Lufthansa, Cathay, Air NZ</t>
  </si>
  <si>
    <t xml:space="preserve">Jobs load by script; hiring system not visible from the page yet</t>
  </si>
  <si>
    <t xml:space="preserve">Measure</t>
  </si>
  <si>
    <t xml:space="preserve">First fetch</t>
  </si>
  <si>
    <t xml:space="preserve">After fixes</t>
  </si>
  <si>
    <t xml:space="preserve">Change</t>
  </si>
  <si>
    <t xml:space="preserve">% of jobs (after)</t>
  </si>
  <si>
    <t xml:space="preserve">Note</t>
  </si>
  <si>
    <t xml:space="preserve">Count of jobs on the site</t>
  </si>
  <si>
    <t xml:space="preserve">Jobs with a country</t>
  </si>
  <si>
    <t xml:space="preserve">Needed for the Country filter (DEF-04)</t>
  </si>
  <si>
    <t xml:space="preserve">Countries covered</t>
  </si>
  <si>
    <t xml:space="preserve">Jobs whose role was unclear (put in Corporate)</t>
  </si>
  <si>
    <t xml:space="preserve">Jobs in Engineering and MRO</t>
  </si>
  <si>
    <t xml:space="preserve">Jobs showing coded locations (~)</t>
  </si>
  <si>
    <t xml:space="preserve">Jobs with a closing date</t>
  </si>
  <si>
    <t xml:space="preserve">Employers often don't publish one</t>
  </si>
  <si>
    <t xml:space="preserve">Jobs with an exact posting date</t>
  </si>
  <si>
    <t xml:space="preserve">Others show 'First seen'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</si>
</sst>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+#,##0;\-#,##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F3A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1724F"/>
      <name val="Arial"/>
      <family val="0"/>
      <charset val="1"/>
    </font>
    <font>
      <b val="true"/>
      <sz val="10"/>
      <color rgb="FFA11C1C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8A5300"/>
      <name val="Arial"/>
      <family val="0"/>
      <charset val="1"/>
    </font>
    <font>
      <b val="true"/>
      <sz val="10"/>
      <color rgb="FF4A5568"/>
      <name val="Arial"/>
      <family val="0"/>
      <charset val="1"/>
    </font>
    <font>
      <i val="true"/>
      <sz val="9"/>
      <color rgb="FF4A556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DCEFFC"/>
        <bgColor rgb="FFE2F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EE9"/>
      </left>
      <right style="thin">
        <color rgb="FFD4DEE9"/>
      </right>
      <top style="thin">
        <color rgb="FFD4DEE9"/>
      </top>
      <bottom style="thin">
        <color rgb="FFD4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6EC"/>
          <bgColor rgb="FF000000"/>
        </patternFill>
      </fill>
    </dxf>
    <dxf>
      <fill>
        <patternFill patternType="solid">
          <fgColor rgb="FF11724F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A11C1C"/>
          <bgColor rgb="FF000000"/>
        </patternFill>
      </fill>
    </dxf>
    <dxf>
      <font>
        <name val="Arial"/>
        <charset val="1"/>
        <family val="0"/>
        <b val="1"/>
        <color rgb="FF11724F"/>
      </font>
      <fill>
        <patternFill>
          <bgColor rgb="FFE2F6EC"/>
        </patternFill>
      </fill>
    </dxf>
    <dxf>
      <font>
        <name val="Arial"/>
        <charset val="1"/>
        <family val="0"/>
        <b val="1"/>
        <color rgb="FFA11C1C"/>
      </font>
      <fill>
        <patternFill>
          <bgColor rgb="FFFDE4E4"/>
        </patternFill>
      </fill>
    </dxf>
    <dxf>
      <font>
        <name val="Arial"/>
        <charset val="1"/>
        <family val="0"/>
        <b val="1"/>
        <color rgb="FF4A5568"/>
      </font>
      <fill>
        <patternFill>
          <bgColor rgb="FFEEF1F5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FF1D6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4A5568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FFF1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300"/>
      <rgbColor rgb="FF800080"/>
      <rgbColor rgb="FF11724F"/>
      <rgbColor rgb="FFC0C0C0"/>
      <rgbColor rgb="FF808080"/>
      <rgbColor rgb="FF9999FF"/>
      <rgbColor rgb="FF993366"/>
      <rgbColor rgb="FFFFF1D6"/>
      <rgbColor rgb="FFDCEFFC"/>
      <rgbColor rgb="FF660066"/>
      <rgbColor rgb="FFFF8080"/>
      <rgbColor rgb="FF0066CC"/>
      <rgbColor rgb="FFD4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6EC"/>
      <rgbColor rgb="FFEEF1F5"/>
      <rgbColor rgb="FFFFFF99"/>
      <rgbColor rgb="FF99CCFF"/>
      <rgbColor rgb="FFFF99CC"/>
      <rgbColor rgb="FFCC99FF"/>
      <rgbColor rgb="FFFDE4E4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A1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4"/>
    <col collapsed="false" customWidth="true" hidden="false" outlineLevel="0" max="7" min="7" style="0" width="5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B7" s="5" t="s">
        <v>8</v>
      </c>
      <c r="C7" s="5" t="n">
        <f aca="false">COUNTA('Test cases'!A2:A37)</f>
        <v>36</v>
      </c>
      <c r="D7" s="6" t="n">
        <f aca="false">COUNTIF('Test cases'!M2:M37,"Pass")</f>
        <v>35</v>
      </c>
      <c r="E7" s="7" t="n">
        <f aca="false">COUNTIF('Test cases'!M2:M37,"Fail")</f>
        <v>1</v>
      </c>
      <c r="F7" s="5" t="n">
        <f aca="false">COUNTIF('Test cases'!M2:M37,"Skip")</f>
        <v>0</v>
      </c>
    </row>
    <row r="8" customFormat="false" ht="15" hidden="false" customHeight="false" outlineLevel="0" collapsed="false">
      <c r="B8" s="5" t="s">
        <v>9</v>
      </c>
      <c r="C8" s="5" t="n">
        <f aca="false">COUNTA('Test cases'!G2:L37)-COUNTIF('Test cases'!G2:L37,"N/A")</f>
        <v>117</v>
      </c>
      <c r="D8" s="6" t="n">
        <f aca="false">COUNTIF('Test cases'!G2:L37,"Pass")</f>
        <v>116</v>
      </c>
      <c r="E8" s="7" t="n">
        <f aca="false">COUNTIF('Test cases'!G2:L37,"Fail")</f>
        <v>1</v>
      </c>
      <c r="F8" s="5" t="n">
        <f aca="false">COUNTIF('Test cases'!G2:L37,"Skip")</f>
        <v>0</v>
      </c>
    </row>
    <row r="9" customFormat="false" ht="15" hidden="false" customHeight="false" outlineLevel="0" collapsed="false">
      <c r="B9" s="5" t="s">
        <v>10</v>
      </c>
      <c r="C9" s="5" t="n">
        <f aca="false">COUNTA('Security tests'!A2:A30)</f>
        <v>29</v>
      </c>
      <c r="D9" s="6" t="n">
        <f aca="false">COUNTIF('Security tests'!F2:F30,"Pass")</f>
        <v>28</v>
      </c>
      <c r="E9" s="7" t="n">
        <f aca="false">COUNTIF('Security tests'!F2:F30,"Fail")</f>
        <v>0</v>
      </c>
      <c r="F9" s="5" t="n">
        <f aca="false">COUNTIF('Security tests'!F2:F30,"Not tested")</f>
        <v>1</v>
      </c>
    </row>
    <row r="10" customFormat="false" ht="15" hidden="false" customHeight="false" outlineLevel="0" collapsed="false">
      <c r="B10" s="5" t="s">
        <v>11</v>
      </c>
      <c r="C10" s="5" t="n">
        <v>20</v>
      </c>
      <c r="D10" s="6" t="n">
        <v>20</v>
      </c>
      <c r="E10" s="7" t="n">
        <v>0</v>
      </c>
      <c r="F10" s="5" t="n">
        <v>0</v>
      </c>
      <c r="G10" s="8" t="s">
        <v>12</v>
      </c>
    </row>
    <row r="11" customFormat="false" ht="15" hidden="false" customHeight="false" outlineLevel="0" collapsed="false">
      <c r="B11" s="5" t="s">
        <v>13</v>
      </c>
      <c r="C11" s="5" t="n">
        <f aca="false">COUNTA(Defects!A2:A13)</f>
        <v>12</v>
      </c>
      <c r="D11" s="6" t="n">
        <f aca="false">COUNTIF(Defects!G2:G13,"Fixed")+COUNTIF(Defects!G2:G13,"Closed")</f>
        <v>7</v>
      </c>
      <c r="E11" s="7" t="n">
        <f aca="false">COUNTIF(Defects!G2:G13,"Open")</f>
        <v>0</v>
      </c>
      <c r="F11" s="5" t="n">
        <f aca="false">C11-D11-E11</f>
        <v>5</v>
      </c>
      <c r="G11" s="8" t="s">
        <v>14</v>
      </c>
    </row>
    <row r="13" customFormat="false" ht="15" hidden="false" customHeight="false" outlineLevel="0" collapsed="false">
      <c r="B13" s="3" t="s">
        <v>15</v>
      </c>
    </row>
    <row r="14" customFormat="false" ht="27.75" hidden="false" customHeight="true" outlineLevel="0" collapsed="false">
      <c r="B14" s="9" t="s">
        <v>16</v>
      </c>
      <c r="C14" s="10" t="s">
        <v>17</v>
      </c>
      <c r="D14" s="10"/>
      <c r="E14" s="10"/>
      <c r="F14" s="10"/>
      <c r="G14" s="10"/>
    </row>
    <row r="15" customFormat="false" ht="27.75" hidden="false" customHeight="true" outlineLevel="0" collapsed="false">
      <c r="B15" s="9" t="s">
        <v>18</v>
      </c>
      <c r="C15" s="10" t="s">
        <v>19</v>
      </c>
      <c r="D15" s="10"/>
      <c r="E15" s="10"/>
      <c r="F15" s="10"/>
      <c r="G15" s="10"/>
    </row>
    <row r="16" customFormat="false" ht="27.75" hidden="false" customHeight="true" outlineLevel="0" collapsed="false">
      <c r="B16" s="9" t="s">
        <v>20</v>
      </c>
      <c r="C16" s="10" t="s">
        <v>21</v>
      </c>
      <c r="D16" s="10"/>
      <c r="E16" s="10"/>
      <c r="F16" s="10"/>
      <c r="G16" s="10"/>
    </row>
    <row r="17" customFormat="false" ht="27.75" hidden="false" customHeight="true" outlineLevel="0" collapsed="false">
      <c r="B17" s="9" t="s">
        <v>22</v>
      </c>
      <c r="C17" s="10" t="s">
        <v>23</v>
      </c>
      <c r="D17" s="10"/>
      <c r="E17" s="10"/>
      <c r="F17" s="10"/>
      <c r="G17" s="10"/>
    </row>
    <row r="18" customFormat="false" ht="27.75" hidden="false" customHeight="true" outlineLevel="0" collapsed="false">
      <c r="B18" s="9" t="s">
        <v>24</v>
      </c>
      <c r="C18" s="10" t="s">
        <v>25</v>
      </c>
      <c r="D18" s="10"/>
      <c r="E18" s="10"/>
      <c r="F18" s="10"/>
      <c r="G18" s="10"/>
    </row>
    <row r="19" customFormat="false" ht="27.75" hidden="false" customHeight="true" outlineLevel="0" collapsed="false">
      <c r="B19" s="9" t="s">
        <v>26</v>
      </c>
      <c r="C19" s="10" t="s">
        <v>27</v>
      </c>
      <c r="D19" s="10"/>
      <c r="E19" s="10"/>
      <c r="F19" s="10"/>
      <c r="G19" s="10"/>
    </row>
    <row r="21" customFormat="false" ht="15" hidden="false" customHeight="false" outlineLevel="0" collapsed="false">
      <c r="B21" s="3" t="s">
        <v>28</v>
      </c>
    </row>
    <row r="22" customFormat="false" ht="27.75" hidden="false" customHeight="true" outlineLevel="0" collapsed="false">
      <c r="B22" s="10" t="s">
        <v>29</v>
      </c>
      <c r="C22" s="10"/>
      <c r="D22" s="10"/>
      <c r="E22" s="10"/>
      <c r="F22" s="10"/>
      <c r="G22" s="10"/>
    </row>
    <row r="23" customFormat="false" ht="27.75" hidden="false" customHeight="true" outlineLevel="0" collapsed="false">
      <c r="B23" s="10" t="s">
        <v>30</v>
      </c>
      <c r="C23" s="10"/>
      <c r="D23" s="10"/>
      <c r="E23" s="10"/>
      <c r="F23" s="10"/>
      <c r="G23" s="10"/>
    </row>
    <row r="24" customFormat="false" ht="27.75" hidden="false" customHeight="true" outlineLevel="0" collapsed="false">
      <c r="B24" s="10" t="s">
        <v>31</v>
      </c>
      <c r="C24" s="10"/>
      <c r="D24" s="10"/>
      <c r="E24" s="10"/>
      <c r="F24" s="10"/>
      <c r="G24" s="10"/>
    </row>
    <row r="25" customFormat="false" ht="27.75" hidden="false" customHeight="true" outlineLevel="0" collapsed="false">
      <c r="B25" s="10" t="s">
        <v>32</v>
      </c>
      <c r="C25" s="10"/>
      <c r="D25" s="10"/>
      <c r="E25" s="10"/>
      <c r="F25" s="10"/>
      <c r="G25" s="10"/>
    </row>
    <row r="27" customFormat="false" ht="15" hidden="false" customHeight="false" outlineLevel="0" collapsed="false">
      <c r="B27" s="8" t="s">
        <v>33</v>
      </c>
    </row>
  </sheetData>
  <mergeCells count="10">
    <mergeCell ref="C14:G14"/>
    <mergeCell ref="C15:G15"/>
    <mergeCell ref="C16:G16"/>
    <mergeCell ref="C17:G17"/>
    <mergeCell ref="C18:G18"/>
    <mergeCell ref="C19:G19"/>
    <mergeCell ref="B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8" min="7" style="0" width="11"/>
    <col collapsed="false" customWidth="true" hidden="false" outlineLevel="0" max="10" min="9" style="0" width="10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5" min="15" style="0" width="60"/>
  </cols>
  <sheetData>
    <row r="1" customFormat="false" ht="30" hidden="false" customHeight="tru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</row>
    <row r="2" customFormat="false" ht="23.85" hidden="false" customHeight="false" outlineLevel="0" collapsed="false">
      <c r="A2" s="12" t="s">
        <v>49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5</v>
      </c>
      <c r="H2" s="12" t="s">
        <v>55</v>
      </c>
      <c r="I2" s="12" t="s">
        <v>5</v>
      </c>
      <c r="J2" s="12" t="s">
        <v>55</v>
      </c>
      <c r="K2" s="12" t="s">
        <v>5</v>
      </c>
      <c r="L2" s="12" t="s">
        <v>55</v>
      </c>
      <c r="M2" s="13" t="str">
        <f aca="false">IF(COUNTIF(G2:L2,"Fail")&gt;0,"Fail",IF(COUNTIF(G2:L2,"Pass")&gt;0,"Pass","Skip"))</f>
        <v>Pass</v>
      </c>
      <c r="N2" s="12" t="s">
        <v>5</v>
      </c>
      <c r="O2" s="12" t="s">
        <v>56</v>
      </c>
    </row>
    <row r="3" customFormat="false" ht="23.85" hidden="false" customHeight="false" outlineLevel="0" collapsed="false">
      <c r="A3" s="12" t="s">
        <v>57</v>
      </c>
      <c r="B3" s="12" t="s">
        <v>50</v>
      </c>
      <c r="C3" s="12" t="s">
        <v>51</v>
      </c>
      <c r="D3" s="12" t="s">
        <v>58</v>
      </c>
      <c r="E3" s="12" t="s">
        <v>59</v>
      </c>
      <c r="F3" s="12" t="s">
        <v>60</v>
      </c>
      <c r="G3" s="12" t="s">
        <v>5</v>
      </c>
      <c r="H3" s="12" t="s">
        <v>55</v>
      </c>
      <c r="I3" s="12" t="s">
        <v>5</v>
      </c>
      <c r="J3" s="12" t="s">
        <v>55</v>
      </c>
      <c r="K3" s="12" t="s">
        <v>5</v>
      </c>
      <c r="L3" s="12" t="s">
        <v>55</v>
      </c>
      <c r="M3" s="13" t="str">
        <f aca="false">IF(COUNTIF(G3:L3,"Fail")&gt;0,"Fail",IF(COUNTIF(G3:L3,"Pass")&gt;0,"Pass","Skip"))</f>
        <v>Pass</v>
      </c>
      <c r="N3" s="12" t="s">
        <v>5</v>
      </c>
      <c r="O3" s="12" t="s">
        <v>61</v>
      </c>
    </row>
    <row r="4" customFormat="false" ht="15" hidden="false" customHeight="false" outlineLevel="0" collapsed="false">
      <c r="A4" s="12" t="s">
        <v>62</v>
      </c>
      <c r="B4" s="12" t="s">
        <v>50</v>
      </c>
      <c r="C4" s="12" t="s">
        <v>51</v>
      </c>
      <c r="D4" s="12" t="s">
        <v>63</v>
      </c>
      <c r="E4" s="12" t="s">
        <v>64</v>
      </c>
      <c r="F4" s="12" t="s">
        <v>65</v>
      </c>
      <c r="G4" s="12" t="s">
        <v>5</v>
      </c>
      <c r="H4" s="12" t="s">
        <v>55</v>
      </c>
      <c r="I4" s="12" t="s">
        <v>5</v>
      </c>
      <c r="J4" s="12" t="s">
        <v>55</v>
      </c>
      <c r="K4" s="12" t="s">
        <v>5</v>
      </c>
      <c r="L4" s="12" t="s">
        <v>55</v>
      </c>
      <c r="M4" s="13" t="str">
        <f aca="false">IF(COUNTIF(G4:L4,"Fail")&gt;0,"Fail",IF(COUNTIF(G4:L4,"Pass")&gt;0,"Pass","Skip"))</f>
        <v>Pass</v>
      </c>
      <c r="N4" s="12" t="s">
        <v>5</v>
      </c>
      <c r="O4" s="12" t="s">
        <v>66</v>
      </c>
    </row>
    <row r="5" customFormat="false" ht="23.85" hidden="false" customHeight="false" outlineLevel="0" collapsed="false">
      <c r="A5" s="12" t="s">
        <v>67</v>
      </c>
      <c r="B5" s="12" t="s">
        <v>50</v>
      </c>
      <c r="C5" s="12" t="s">
        <v>51</v>
      </c>
      <c r="D5" s="12" t="s">
        <v>68</v>
      </c>
      <c r="E5" s="12" t="s">
        <v>69</v>
      </c>
      <c r="F5" s="12" t="s">
        <v>70</v>
      </c>
      <c r="G5" s="12" t="s">
        <v>5</v>
      </c>
      <c r="H5" s="12" t="s">
        <v>55</v>
      </c>
      <c r="I5" s="12" t="s">
        <v>5</v>
      </c>
      <c r="J5" s="12" t="s">
        <v>55</v>
      </c>
      <c r="K5" s="12" t="s">
        <v>5</v>
      </c>
      <c r="L5" s="12" t="s">
        <v>55</v>
      </c>
      <c r="M5" s="13" t="str">
        <f aca="false">IF(COUNTIF(G5:L5,"Fail")&gt;0,"Fail",IF(COUNTIF(G5:L5,"Pass")&gt;0,"Pass","Skip"))</f>
        <v>Pass</v>
      </c>
      <c r="N5" s="12" t="s">
        <v>5</v>
      </c>
      <c r="O5" s="12" t="s">
        <v>71</v>
      </c>
    </row>
    <row r="6" customFormat="false" ht="23.85" hidden="false" customHeight="false" outlineLevel="0" collapsed="false">
      <c r="A6" s="12" t="s">
        <v>72</v>
      </c>
      <c r="B6" s="12" t="s">
        <v>50</v>
      </c>
      <c r="C6" s="12" t="s">
        <v>73</v>
      </c>
      <c r="D6" s="12" t="s">
        <v>74</v>
      </c>
      <c r="E6" s="12" t="s">
        <v>75</v>
      </c>
      <c r="F6" s="12" t="s">
        <v>76</v>
      </c>
      <c r="G6" s="12" t="s">
        <v>5</v>
      </c>
      <c r="H6" s="12" t="s">
        <v>55</v>
      </c>
      <c r="I6" s="12" t="s">
        <v>5</v>
      </c>
      <c r="J6" s="12" t="s">
        <v>55</v>
      </c>
      <c r="K6" s="12" t="s">
        <v>5</v>
      </c>
      <c r="L6" s="12" t="s">
        <v>55</v>
      </c>
      <c r="M6" s="13" t="str">
        <f aca="false">IF(COUNTIF(G6:L6,"Fail")&gt;0,"Fail",IF(COUNTIF(G6:L6,"Pass")&gt;0,"Pass","Skip"))</f>
        <v>Pass</v>
      </c>
      <c r="N6" s="12" t="s">
        <v>5</v>
      </c>
      <c r="O6" s="12" t="s">
        <v>77</v>
      </c>
    </row>
    <row r="7" customFormat="false" ht="23.85" hidden="false" customHeight="false" outlineLevel="0" collapsed="false">
      <c r="A7" s="12" t="s">
        <v>78</v>
      </c>
      <c r="B7" s="12" t="s">
        <v>50</v>
      </c>
      <c r="C7" s="12" t="s">
        <v>79</v>
      </c>
      <c r="D7" s="12" t="s">
        <v>80</v>
      </c>
      <c r="E7" s="12" t="s">
        <v>81</v>
      </c>
      <c r="F7" s="12" t="s">
        <v>82</v>
      </c>
      <c r="G7" s="12" t="s">
        <v>5</v>
      </c>
      <c r="H7" s="12" t="s">
        <v>55</v>
      </c>
      <c r="I7" s="12" t="s">
        <v>5</v>
      </c>
      <c r="J7" s="12" t="s">
        <v>55</v>
      </c>
      <c r="K7" s="12" t="s">
        <v>5</v>
      </c>
      <c r="L7" s="12" t="s">
        <v>55</v>
      </c>
      <c r="M7" s="13" t="str">
        <f aca="false">IF(COUNTIF(G7:L7,"Fail")&gt;0,"Fail",IF(COUNTIF(G7:L7,"Pass")&gt;0,"Pass","Skip"))</f>
        <v>Pass</v>
      </c>
      <c r="N7" s="12" t="s">
        <v>5</v>
      </c>
      <c r="O7" s="12" t="s">
        <v>83</v>
      </c>
    </row>
    <row r="8" customFormat="false" ht="23.85" hidden="false" customHeight="false" outlineLevel="0" collapsed="false">
      <c r="A8" s="12" t="s">
        <v>84</v>
      </c>
      <c r="B8" s="12" t="s">
        <v>85</v>
      </c>
      <c r="C8" s="12" t="s">
        <v>51</v>
      </c>
      <c r="D8" s="12" t="s">
        <v>86</v>
      </c>
      <c r="E8" s="12" t="s">
        <v>87</v>
      </c>
      <c r="F8" s="12" t="s">
        <v>88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3" t="str">
        <f aca="false">IF(COUNTIF(G8:L8,"Fail")&gt;0,"Fail",IF(COUNTIF(G8:L8,"Pass")&gt;0,"Pass","Skip"))</f>
        <v>Pass</v>
      </c>
      <c r="N8" s="12" t="s">
        <v>5</v>
      </c>
      <c r="O8" s="12" t="s">
        <v>89</v>
      </c>
    </row>
    <row r="9" customFormat="false" ht="23.85" hidden="false" customHeight="false" outlineLevel="0" collapsed="false">
      <c r="A9" s="12" t="s">
        <v>90</v>
      </c>
      <c r="B9" s="12" t="s">
        <v>85</v>
      </c>
      <c r="C9" s="12" t="s">
        <v>51</v>
      </c>
      <c r="D9" s="12" t="s">
        <v>91</v>
      </c>
      <c r="E9" s="12" t="s">
        <v>92</v>
      </c>
      <c r="F9" s="12" t="s">
        <v>93</v>
      </c>
      <c r="G9" s="12" t="s">
        <v>5</v>
      </c>
      <c r="H9" s="12" t="s">
        <v>55</v>
      </c>
      <c r="I9" s="12" t="s">
        <v>5</v>
      </c>
      <c r="J9" s="12" t="s">
        <v>55</v>
      </c>
      <c r="K9" s="12" t="s">
        <v>5</v>
      </c>
      <c r="L9" s="12" t="s">
        <v>55</v>
      </c>
      <c r="M9" s="13" t="str">
        <f aca="false">IF(COUNTIF(G9:L9,"Fail")&gt;0,"Fail",IF(COUNTIF(G9:L9,"Pass")&gt;0,"Pass","Skip"))</f>
        <v>Pass</v>
      </c>
      <c r="N9" s="12" t="s">
        <v>5</v>
      </c>
      <c r="O9" s="12" t="s">
        <v>94</v>
      </c>
    </row>
    <row r="10" customFormat="false" ht="23.85" hidden="false" customHeight="false" outlineLevel="0" collapsed="false">
      <c r="A10" s="12" t="s">
        <v>95</v>
      </c>
      <c r="B10" s="12" t="s">
        <v>85</v>
      </c>
      <c r="C10" s="12" t="s">
        <v>73</v>
      </c>
      <c r="D10" s="12" t="s">
        <v>96</v>
      </c>
      <c r="E10" s="12" t="s">
        <v>97</v>
      </c>
      <c r="F10" s="12" t="s">
        <v>98</v>
      </c>
      <c r="G10" s="12" t="s">
        <v>5</v>
      </c>
      <c r="H10" s="12" t="s">
        <v>55</v>
      </c>
      <c r="I10" s="12" t="s">
        <v>5</v>
      </c>
      <c r="J10" s="12" t="s">
        <v>55</v>
      </c>
      <c r="K10" s="12" t="s">
        <v>5</v>
      </c>
      <c r="L10" s="12" t="s">
        <v>55</v>
      </c>
      <c r="M10" s="13" t="str">
        <f aca="false">IF(COUNTIF(G10:L10,"Fail")&gt;0,"Fail",IF(COUNTIF(G10:L10,"Pass")&gt;0,"Pass","Skip"))</f>
        <v>Pass</v>
      </c>
      <c r="N10" s="12" t="s">
        <v>5</v>
      </c>
      <c r="O10" s="12" t="s">
        <v>99</v>
      </c>
    </row>
    <row r="11" customFormat="false" ht="23.85" hidden="false" customHeight="false" outlineLevel="0" collapsed="false">
      <c r="A11" s="12" t="s">
        <v>100</v>
      </c>
      <c r="B11" s="12" t="s">
        <v>101</v>
      </c>
      <c r="C11" s="12" t="s">
        <v>51</v>
      </c>
      <c r="D11" s="12" t="s">
        <v>102</v>
      </c>
      <c r="E11" s="12" t="s">
        <v>103</v>
      </c>
      <c r="F11" s="12" t="s">
        <v>104</v>
      </c>
      <c r="G11" s="12" t="s">
        <v>5</v>
      </c>
      <c r="H11" s="12" t="s">
        <v>55</v>
      </c>
      <c r="I11" s="12" t="s">
        <v>5</v>
      </c>
      <c r="J11" s="12" t="s">
        <v>55</v>
      </c>
      <c r="K11" s="12" t="s">
        <v>5</v>
      </c>
      <c r="L11" s="12" t="s">
        <v>55</v>
      </c>
      <c r="M11" s="13" t="str">
        <f aca="false">IF(COUNTIF(G11:L11,"Fail")&gt;0,"Fail",IF(COUNTIF(G11:L11,"Pass")&gt;0,"Pass","Skip"))</f>
        <v>Pass</v>
      </c>
      <c r="N11" s="12" t="s">
        <v>5</v>
      </c>
      <c r="O11" s="12" t="s">
        <v>105</v>
      </c>
    </row>
    <row r="12" customFormat="false" ht="35.05" hidden="false" customHeight="false" outlineLevel="0" collapsed="false">
      <c r="A12" s="12" t="s">
        <v>106</v>
      </c>
      <c r="B12" s="12" t="s">
        <v>101</v>
      </c>
      <c r="C12" s="12" t="s">
        <v>51</v>
      </c>
      <c r="D12" s="12" t="s">
        <v>107</v>
      </c>
      <c r="E12" s="12" t="s">
        <v>108</v>
      </c>
      <c r="F12" s="12" t="s">
        <v>104</v>
      </c>
      <c r="G12" s="12" t="s">
        <v>5</v>
      </c>
      <c r="H12" s="12" t="s">
        <v>5</v>
      </c>
      <c r="I12" s="12" t="s">
        <v>5</v>
      </c>
      <c r="J12" s="12" t="s">
        <v>5</v>
      </c>
      <c r="K12" s="12" t="s">
        <v>5</v>
      </c>
      <c r="L12" s="12" t="s">
        <v>5</v>
      </c>
      <c r="M12" s="13" t="str">
        <f aca="false">IF(COUNTIF(G12:L12,"Fail")&gt;0,"Fail",IF(COUNTIF(G12:L12,"Pass")&gt;0,"Pass","Skip"))</f>
        <v>Pass</v>
      </c>
      <c r="N12" s="12" t="s">
        <v>5</v>
      </c>
      <c r="O12" s="12" t="s">
        <v>109</v>
      </c>
    </row>
    <row r="13" customFormat="false" ht="23.85" hidden="false" customHeight="false" outlineLevel="0" collapsed="false">
      <c r="A13" s="12" t="s">
        <v>110</v>
      </c>
      <c r="B13" s="12" t="s">
        <v>101</v>
      </c>
      <c r="C13" s="12" t="s">
        <v>51</v>
      </c>
      <c r="D13" s="12" t="s">
        <v>111</v>
      </c>
      <c r="E13" s="12" t="s">
        <v>112</v>
      </c>
      <c r="F13" s="12" t="s">
        <v>104</v>
      </c>
      <c r="G13" s="12" t="s">
        <v>5</v>
      </c>
      <c r="H13" s="12" t="s">
        <v>55</v>
      </c>
      <c r="I13" s="12" t="s">
        <v>5</v>
      </c>
      <c r="J13" s="12" t="s">
        <v>55</v>
      </c>
      <c r="K13" s="12" t="s">
        <v>5</v>
      </c>
      <c r="L13" s="12" t="s">
        <v>55</v>
      </c>
      <c r="M13" s="13" t="str">
        <f aca="false">IF(COUNTIF(G13:L13,"Fail")&gt;0,"Fail",IF(COUNTIF(G13:L13,"Pass")&gt;0,"Pass","Skip"))</f>
        <v>Pass</v>
      </c>
      <c r="N13" s="12" t="s">
        <v>5</v>
      </c>
      <c r="O13" s="12" t="s">
        <v>113</v>
      </c>
    </row>
    <row r="14" customFormat="false" ht="23.85" hidden="false" customHeight="false" outlineLevel="0" collapsed="false">
      <c r="A14" s="12" t="s">
        <v>114</v>
      </c>
      <c r="B14" s="12" t="s">
        <v>101</v>
      </c>
      <c r="C14" s="12" t="s">
        <v>51</v>
      </c>
      <c r="D14" s="12" t="s">
        <v>115</v>
      </c>
      <c r="E14" s="12" t="s">
        <v>116</v>
      </c>
      <c r="F14" s="12" t="s">
        <v>104</v>
      </c>
      <c r="G14" s="12" t="s">
        <v>5</v>
      </c>
      <c r="H14" s="12" t="s">
        <v>55</v>
      </c>
      <c r="I14" s="12" t="s">
        <v>5</v>
      </c>
      <c r="J14" s="12" t="s">
        <v>55</v>
      </c>
      <c r="K14" s="12" t="s">
        <v>5</v>
      </c>
      <c r="L14" s="12" t="s">
        <v>55</v>
      </c>
      <c r="M14" s="13" t="str">
        <f aca="false">IF(COUNTIF(G14:L14,"Fail")&gt;0,"Fail",IF(COUNTIF(G14:L14,"Pass")&gt;0,"Pass","Skip"))</f>
        <v>Pass</v>
      </c>
      <c r="N14" s="12" t="s">
        <v>5</v>
      </c>
      <c r="O14" s="12" t="s">
        <v>117</v>
      </c>
    </row>
    <row r="15" customFormat="false" ht="15" hidden="false" customHeight="false" outlineLevel="0" collapsed="false">
      <c r="A15" s="12" t="s">
        <v>118</v>
      </c>
      <c r="B15" s="12" t="s">
        <v>101</v>
      </c>
      <c r="C15" s="12" t="s">
        <v>51</v>
      </c>
      <c r="D15" s="12" t="s">
        <v>119</v>
      </c>
      <c r="E15" s="12" t="s">
        <v>120</v>
      </c>
      <c r="F15" s="12" t="s">
        <v>104</v>
      </c>
      <c r="G15" s="12" t="s">
        <v>5</v>
      </c>
      <c r="H15" s="12" t="s">
        <v>55</v>
      </c>
      <c r="I15" s="12" t="s">
        <v>5</v>
      </c>
      <c r="J15" s="12" t="s">
        <v>55</v>
      </c>
      <c r="K15" s="12" t="s">
        <v>5</v>
      </c>
      <c r="L15" s="12" t="s">
        <v>55</v>
      </c>
      <c r="M15" s="13" t="str">
        <f aca="false">IF(COUNTIF(G15:L15,"Fail")&gt;0,"Fail",IF(COUNTIF(G15:L15,"Pass")&gt;0,"Pass","Skip"))</f>
        <v>Pass</v>
      </c>
      <c r="N15" s="12" t="s">
        <v>5</v>
      </c>
      <c r="O15" s="12" t="s">
        <v>121</v>
      </c>
    </row>
    <row r="16" customFormat="false" ht="23.85" hidden="false" customHeight="false" outlineLevel="0" collapsed="false">
      <c r="A16" s="12" t="s">
        <v>122</v>
      </c>
      <c r="B16" s="12" t="s">
        <v>101</v>
      </c>
      <c r="C16" s="12" t="s">
        <v>79</v>
      </c>
      <c r="D16" s="12" t="s">
        <v>123</v>
      </c>
      <c r="E16" s="12" t="s">
        <v>124</v>
      </c>
      <c r="F16" s="12" t="s">
        <v>125</v>
      </c>
      <c r="G16" s="12" t="s">
        <v>5</v>
      </c>
      <c r="H16" s="12" t="s">
        <v>55</v>
      </c>
      <c r="I16" s="12" t="s">
        <v>5</v>
      </c>
      <c r="J16" s="12" t="s">
        <v>55</v>
      </c>
      <c r="K16" s="12" t="s">
        <v>5</v>
      </c>
      <c r="L16" s="12" t="s">
        <v>55</v>
      </c>
      <c r="M16" s="13" t="str">
        <f aca="false">IF(COUNTIF(G16:L16,"Fail")&gt;0,"Fail",IF(COUNTIF(G16:L16,"Pass")&gt;0,"Pass","Skip"))</f>
        <v>Pass</v>
      </c>
      <c r="N16" s="12" t="s">
        <v>5</v>
      </c>
      <c r="O16" s="12" t="s">
        <v>126</v>
      </c>
    </row>
    <row r="17" customFormat="false" ht="35.05" hidden="false" customHeight="false" outlineLevel="0" collapsed="false">
      <c r="A17" s="12" t="s">
        <v>127</v>
      </c>
      <c r="B17" s="12" t="s">
        <v>101</v>
      </c>
      <c r="C17" s="12" t="s">
        <v>73</v>
      </c>
      <c r="D17" s="12" t="s">
        <v>128</v>
      </c>
      <c r="E17" s="12" t="s">
        <v>129</v>
      </c>
      <c r="F17" s="12" t="s">
        <v>130</v>
      </c>
      <c r="G17" s="12" t="s">
        <v>5</v>
      </c>
      <c r="H17" s="12" t="s">
        <v>5</v>
      </c>
      <c r="I17" s="12" t="s">
        <v>5</v>
      </c>
      <c r="J17" s="12" t="s">
        <v>5</v>
      </c>
      <c r="K17" s="12" t="s">
        <v>5</v>
      </c>
      <c r="L17" s="12" t="s">
        <v>5</v>
      </c>
      <c r="M17" s="13" t="str">
        <f aca="false">IF(COUNTIF(G17:L17,"Fail")&gt;0,"Fail",IF(COUNTIF(G17:L17,"Pass")&gt;0,"Pass","Skip"))</f>
        <v>Pass</v>
      </c>
      <c r="N17" s="12" t="s">
        <v>6</v>
      </c>
      <c r="O17" s="12" t="s">
        <v>131</v>
      </c>
    </row>
    <row r="18" customFormat="false" ht="23.85" hidden="false" customHeight="false" outlineLevel="0" collapsed="false">
      <c r="A18" s="12" t="s">
        <v>132</v>
      </c>
      <c r="B18" s="12" t="s">
        <v>101</v>
      </c>
      <c r="C18" s="12" t="s">
        <v>73</v>
      </c>
      <c r="D18" s="12" t="s">
        <v>133</v>
      </c>
      <c r="E18" s="12" t="s">
        <v>134</v>
      </c>
      <c r="F18" s="12" t="s">
        <v>135</v>
      </c>
      <c r="G18" s="12" t="s">
        <v>5</v>
      </c>
      <c r="H18" s="12" t="s">
        <v>55</v>
      </c>
      <c r="I18" s="12" t="s">
        <v>5</v>
      </c>
      <c r="J18" s="12" t="s">
        <v>55</v>
      </c>
      <c r="K18" s="12" t="s">
        <v>5</v>
      </c>
      <c r="L18" s="12" t="s">
        <v>55</v>
      </c>
      <c r="M18" s="13" t="str">
        <f aca="false">IF(COUNTIF(G18:L18,"Fail")&gt;0,"Fail",IF(COUNTIF(G18:L18,"Pass")&gt;0,"Pass","Skip"))</f>
        <v>Pass</v>
      </c>
      <c r="N18" s="12" t="s">
        <v>5</v>
      </c>
      <c r="O18" s="12" t="s">
        <v>136</v>
      </c>
    </row>
    <row r="19" customFormat="false" ht="23.85" hidden="false" customHeight="false" outlineLevel="0" collapsed="false">
      <c r="A19" s="12" t="s">
        <v>137</v>
      </c>
      <c r="B19" s="12" t="s">
        <v>138</v>
      </c>
      <c r="C19" s="12" t="s">
        <v>51</v>
      </c>
      <c r="D19" s="12" t="s">
        <v>139</v>
      </c>
      <c r="E19" s="12" t="s">
        <v>140</v>
      </c>
      <c r="F19" s="12" t="s">
        <v>141</v>
      </c>
      <c r="G19" s="12" t="s">
        <v>5</v>
      </c>
      <c r="H19" s="12" t="s">
        <v>55</v>
      </c>
      <c r="I19" s="12" t="s">
        <v>5</v>
      </c>
      <c r="J19" s="12" t="s">
        <v>55</v>
      </c>
      <c r="K19" s="12" t="s">
        <v>5</v>
      </c>
      <c r="L19" s="12" t="s">
        <v>55</v>
      </c>
      <c r="M19" s="13" t="str">
        <f aca="false">IF(COUNTIF(G19:L19,"Fail")&gt;0,"Fail",IF(COUNTIF(G19:L19,"Pass")&gt;0,"Pass","Skip"))</f>
        <v>Pass</v>
      </c>
      <c r="N19" s="12" t="s">
        <v>5</v>
      </c>
      <c r="O19" s="12" t="s">
        <v>142</v>
      </c>
    </row>
    <row r="20" customFormat="false" ht="23.85" hidden="false" customHeight="false" outlineLevel="0" collapsed="false">
      <c r="A20" s="12" t="s">
        <v>143</v>
      </c>
      <c r="B20" s="12" t="s">
        <v>144</v>
      </c>
      <c r="C20" s="12" t="s">
        <v>51</v>
      </c>
      <c r="D20" s="12" t="s">
        <v>145</v>
      </c>
      <c r="E20" s="12" t="s">
        <v>146</v>
      </c>
      <c r="F20" s="12" t="s">
        <v>147</v>
      </c>
      <c r="G20" s="12" t="s">
        <v>5</v>
      </c>
      <c r="H20" s="12" t="s">
        <v>55</v>
      </c>
      <c r="I20" s="12" t="s">
        <v>5</v>
      </c>
      <c r="J20" s="12" t="s">
        <v>55</v>
      </c>
      <c r="K20" s="12" t="s">
        <v>5</v>
      </c>
      <c r="L20" s="12" t="s">
        <v>55</v>
      </c>
      <c r="M20" s="13" t="str">
        <f aca="false">IF(COUNTIF(G20:L20,"Fail")&gt;0,"Fail",IF(COUNTIF(G20:L20,"Pass")&gt;0,"Pass","Skip"))</f>
        <v>Pass</v>
      </c>
      <c r="N20" s="12" t="s">
        <v>5</v>
      </c>
      <c r="O20" s="12" t="s">
        <v>148</v>
      </c>
    </row>
    <row r="21" customFormat="false" ht="23.85" hidden="false" customHeight="false" outlineLevel="0" collapsed="false">
      <c r="A21" s="12" t="s">
        <v>149</v>
      </c>
      <c r="B21" s="12" t="s">
        <v>150</v>
      </c>
      <c r="C21" s="12" t="s">
        <v>51</v>
      </c>
      <c r="D21" s="12" t="s">
        <v>151</v>
      </c>
      <c r="E21" s="12" t="s">
        <v>152</v>
      </c>
      <c r="F21" s="12" t="s">
        <v>153</v>
      </c>
      <c r="G21" s="12" t="s">
        <v>5</v>
      </c>
      <c r="H21" s="12" t="s">
        <v>55</v>
      </c>
      <c r="I21" s="12" t="s">
        <v>5</v>
      </c>
      <c r="J21" s="12" t="s">
        <v>55</v>
      </c>
      <c r="K21" s="12" t="s">
        <v>5</v>
      </c>
      <c r="L21" s="12" t="s">
        <v>55</v>
      </c>
      <c r="M21" s="13" t="str">
        <f aca="false">IF(COUNTIF(G21:L21,"Fail")&gt;0,"Fail",IF(COUNTIF(G21:L21,"Pass")&gt;0,"Pass","Skip"))</f>
        <v>Pass</v>
      </c>
      <c r="N21" s="12" t="s">
        <v>5</v>
      </c>
      <c r="O21" s="12" t="s">
        <v>154</v>
      </c>
    </row>
    <row r="22" customFormat="false" ht="23.85" hidden="false" customHeight="false" outlineLevel="0" collapsed="false">
      <c r="A22" s="12" t="s">
        <v>155</v>
      </c>
      <c r="B22" s="12" t="s">
        <v>150</v>
      </c>
      <c r="C22" s="12" t="s">
        <v>51</v>
      </c>
      <c r="D22" s="12" t="s">
        <v>156</v>
      </c>
      <c r="E22" s="12" t="s">
        <v>157</v>
      </c>
      <c r="F22" s="12" t="s">
        <v>158</v>
      </c>
      <c r="G22" s="12" t="s">
        <v>5</v>
      </c>
      <c r="H22" s="12" t="s">
        <v>55</v>
      </c>
      <c r="I22" s="12" t="s">
        <v>5</v>
      </c>
      <c r="J22" s="12" t="s">
        <v>55</v>
      </c>
      <c r="K22" s="12" t="s">
        <v>5</v>
      </c>
      <c r="L22" s="12" t="s">
        <v>55</v>
      </c>
      <c r="M22" s="13" t="str">
        <f aca="false">IF(COUNTIF(G22:L22,"Fail")&gt;0,"Fail",IF(COUNTIF(G22:L22,"Pass")&gt;0,"Pass","Skip"))</f>
        <v>Pass</v>
      </c>
      <c r="N22" s="12" t="s">
        <v>5</v>
      </c>
      <c r="O22" s="12" t="s">
        <v>159</v>
      </c>
    </row>
    <row r="23" customFormat="false" ht="113.4" hidden="false" customHeight="false" outlineLevel="0" collapsed="false">
      <c r="A23" s="12" t="s">
        <v>160</v>
      </c>
      <c r="B23" s="12" t="s">
        <v>150</v>
      </c>
      <c r="C23" s="12" t="s">
        <v>79</v>
      </c>
      <c r="D23" s="12" t="s">
        <v>161</v>
      </c>
      <c r="E23" s="12" t="s">
        <v>162</v>
      </c>
      <c r="F23" s="12" t="s">
        <v>163</v>
      </c>
      <c r="G23" s="12" t="s">
        <v>5</v>
      </c>
      <c r="H23" s="12" t="s">
        <v>55</v>
      </c>
      <c r="I23" s="12" t="s">
        <v>5</v>
      </c>
      <c r="J23" s="12" t="s">
        <v>55</v>
      </c>
      <c r="K23" s="12" t="s">
        <v>5</v>
      </c>
      <c r="L23" s="12" t="s">
        <v>55</v>
      </c>
      <c r="M23" s="13" t="str">
        <f aca="false">IF(COUNTIF(G23:L23,"Fail")&gt;0,"Fail",IF(COUNTIF(G23:L23,"Pass")&gt;0,"Pass","Skip"))</f>
        <v>Pass</v>
      </c>
      <c r="N23" s="12" t="s">
        <v>5</v>
      </c>
      <c r="O23" s="12" t="s">
        <v>164</v>
      </c>
    </row>
    <row r="24" customFormat="false" ht="15" hidden="false" customHeight="false" outlineLevel="0" collapsed="false">
      <c r="A24" s="12" t="s">
        <v>165</v>
      </c>
      <c r="B24" s="12" t="s">
        <v>150</v>
      </c>
      <c r="C24" s="12" t="s">
        <v>79</v>
      </c>
      <c r="D24" s="12" t="s">
        <v>166</v>
      </c>
      <c r="E24" s="12" t="s">
        <v>167</v>
      </c>
      <c r="F24" s="12" t="s">
        <v>168</v>
      </c>
      <c r="G24" s="12" t="s">
        <v>5</v>
      </c>
      <c r="H24" s="12" t="s">
        <v>55</v>
      </c>
      <c r="I24" s="12" t="s">
        <v>5</v>
      </c>
      <c r="J24" s="12" t="s">
        <v>55</v>
      </c>
      <c r="K24" s="12" t="s">
        <v>5</v>
      </c>
      <c r="L24" s="12" t="s">
        <v>55</v>
      </c>
      <c r="M24" s="13" t="str">
        <f aca="false">IF(COUNTIF(G24:L24,"Fail")&gt;0,"Fail",IF(COUNTIF(G24:L24,"Pass")&gt;0,"Pass","Skip"))</f>
        <v>Pass</v>
      </c>
      <c r="N24" s="12" t="s">
        <v>5</v>
      </c>
      <c r="O24" s="12" t="s">
        <v>169</v>
      </c>
    </row>
    <row r="25" customFormat="false" ht="23.85" hidden="false" customHeight="false" outlineLevel="0" collapsed="false">
      <c r="A25" s="12" t="s">
        <v>170</v>
      </c>
      <c r="B25" s="12" t="s">
        <v>171</v>
      </c>
      <c r="C25" s="12" t="s">
        <v>79</v>
      </c>
      <c r="D25" s="12" t="s">
        <v>172</v>
      </c>
      <c r="E25" s="12" t="s">
        <v>173</v>
      </c>
      <c r="F25" s="12" t="s">
        <v>174</v>
      </c>
      <c r="G25" s="12" t="s">
        <v>5</v>
      </c>
      <c r="H25" s="12" t="s">
        <v>55</v>
      </c>
      <c r="I25" s="12" t="s">
        <v>5</v>
      </c>
      <c r="J25" s="12" t="s">
        <v>55</v>
      </c>
      <c r="K25" s="12" t="s">
        <v>5</v>
      </c>
      <c r="L25" s="12" t="s">
        <v>55</v>
      </c>
      <c r="M25" s="13" t="str">
        <f aca="false">IF(COUNTIF(G25:L25,"Fail")&gt;0,"Fail",IF(COUNTIF(G25:L25,"Pass")&gt;0,"Pass","Skip"))</f>
        <v>Pass</v>
      </c>
      <c r="N25" s="12" t="s">
        <v>5</v>
      </c>
      <c r="O25" s="12" t="s">
        <v>175</v>
      </c>
    </row>
    <row r="26" customFormat="false" ht="15" hidden="false" customHeight="false" outlineLevel="0" collapsed="false">
      <c r="A26" s="12" t="s">
        <v>176</v>
      </c>
      <c r="B26" s="12" t="s">
        <v>171</v>
      </c>
      <c r="C26" s="12" t="s">
        <v>51</v>
      </c>
      <c r="D26" s="12" t="s">
        <v>177</v>
      </c>
      <c r="E26" s="12" t="s">
        <v>178</v>
      </c>
      <c r="F26" s="12" t="s">
        <v>179</v>
      </c>
      <c r="G26" s="12" t="s">
        <v>5</v>
      </c>
      <c r="H26" s="12" t="s">
        <v>55</v>
      </c>
      <c r="I26" s="12" t="s">
        <v>5</v>
      </c>
      <c r="J26" s="12" t="s">
        <v>55</v>
      </c>
      <c r="K26" s="12" t="s">
        <v>5</v>
      </c>
      <c r="L26" s="12" t="s">
        <v>55</v>
      </c>
      <c r="M26" s="13" t="str">
        <f aca="false">IF(COUNTIF(G26:L26,"Fail")&gt;0,"Fail",IF(COUNTIF(G26:L26,"Pass")&gt;0,"Pass","Skip"))</f>
        <v>Pass</v>
      </c>
      <c r="N26" s="12" t="s">
        <v>5</v>
      </c>
      <c r="O26" s="12" t="s">
        <v>180</v>
      </c>
    </row>
    <row r="27" customFormat="false" ht="35.05" hidden="false" customHeight="false" outlineLevel="0" collapsed="false">
      <c r="A27" s="12" t="s">
        <v>181</v>
      </c>
      <c r="B27" s="12" t="s">
        <v>182</v>
      </c>
      <c r="C27" s="12" t="s">
        <v>51</v>
      </c>
      <c r="D27" s="12" t="s">
        <v>183</v>
      </c>
      <c r="E27" s="12" t="s">
        <v>184</v>
      </c>
      <c r="F27" s="12" t="s">
        <v>185</v>
      </c>
      <c r="G27" s="12" t="s">
        <v>5</v>
      </c>
      <c r="H27" s="12" t="s">
        <v>55</v>
      </c>
      <c r="I27" s="12" t="s">
        <v>5</v>
      </c>
      <c r="J27" s="12" t="s">
        <v>55</v>
      </c>
      <c r="K27" s="12" t="s">
        <v>5</v>
      </c>
      <c r="L27" s="12" t="s">
        <v>55</v>
      </c>
      <c r="M27" s="13" t="str">
        <f aca="false">IF(COUNTIF(G27:L27,"Fail")&gt;0,"Fail",IF(COUNTIF(G27:L27,"Pass")&gt;0,"Pass","Skip"))</f>
        <v>Pass</v>
      </c>
      <c r="N27" s="12" t="s">
        <v>5</v>
      </c>
      <c r="O27" s="12" t="s">
        <v>186</v>
      </c>
    </row>
    <row r="28" customFormat="false" ht="35.05" hidden="false" customHeight="false" outlineLevel="0" collapsed="false">
      <c r="A28" s="12" t="s">
        <v>187</v>
      </c>
      <c r="B28" s="12" t="s">
        <v>182</v>
      </c>
      <c r="C28" s="12" t="s">
        <v>51</v>
      </c>
      <c r="D28" s="12" t="s">
        <v>188</v>
      </c>
      <c r="E28" s="12" t="s">
        <v>189</v>
      </c>
      <c r="F28" s="12" t="s">
        <v>190</v>
      </c>
      <c r="G28" s="12" t="s">
        <v>5</v>
      </c>
      <c r="H28" s="12" t="s">
        <v>55</v>
      </c>
      <c r="I28" s="12" t="s">
        <v>5</v>
      </c>
      <c r="J28" s="12" t="s">
        <v>55</v>
      </c>
      <c r="K28" s="12" t="s">
        <v>5</v>
      </c>
      <c r="L28" s="12" t="s">
        <v>55</v>
      </c>
      <c r="M28" s="13" t="str">
        <f aca="false">IF(COUNTIF(G28:L28,"Fail")&gt;0,"Fail",IF(COUNTIF(G28:L28,"Pass")&gt;0,"Pass","Skip"))</f>
        <v>Pass</v>
      </c>
      <c r="N28" s="12" t="s">
        <v>5</v>
      </c>
      <c r="O28" s="12" t="s">
        <v>191</v>
      </c>
    </row>
    <row r="29" customFormat="false" ht="23.85" hidden="false" customHeight="false" outlineLevel="0" collapsed="false">
      <c r="A29" s="12" t="s">
        <v>192</v>
      </c>
      <c r="B29" s="12" t="s">
        <v>193</v>
      </c>
      <c r="C29" s="12" t="s">
        <v>51</v>
      </c>
      <c r="D29" s="12" t="s">
        <v>194</v>
      </c>
      <c r="E29" s="12" t="s">
        <v>195</v>
      </c>
      <c r="F29" s="12" t="s">
        <v>196</v>
      </c>
      <c r="G29" s="12" t="s">
        <v>5</v>
      </c>
      <c r="H29" s="12" t="s">
        <v>55</v>
      </c>
      <c r="I29" s="12" t="s">
        <v>5</v>
      </c>
      <c r="J29" s="12" t="s">
        <v>55</v>
      </c>
      <c r="K29" s="12" t="s">
        <v>5</v>
      </c>
      <c r="L29" s="12" t="s">
        <v>55</v>
      </c>
      <c r="M29" s="13" t="str">
        <f aca="false">IF(COUNTIF(G29:L29,"Fail")&gt;0,"Fail",IF(COUNTIF(G29:L29,"Pass")&gt;0,"Pass","Skip"))</f>
        <v>Pass</v>
      </c>
      <c r="N29" s="12" t="s">
        <v>5</v>
      </c>
      <c r="O29" s="12" t="s">
        <v>197</v>
      </c>
    </row>
    <row r="30" customFormat="false" ht="23.85" hidden="false" customHeight="false" outlineLevel="0" collapsed="false">
      <c r="A30" s="12" t="s">
        <v>198</v>
      </c>
      <c r="B30" s="12" t="s">
        <v>199</v>
      </c>
      <c r="C30" s="12" t="s">
        <v>200</v>
      </c>
      <c r="D30" s="12" t="s">
        <v>201</v>
      </c>
      <c r="E30" s="12" t="s">
        <v>202</v>
      </c>
      <c r="F30" s="12" t="s">
        <v>203</v>
      </c>
      <c r="G30" s="12" t="s">
        <v>5</v>
      </c>
      <c r="H30" s="12" t="s">
        <v>55</v>
      </c>
      <c r="I30" s="12" t="s">
        <v>5</v>
      </c>
      <c r="J30" s="12" t="s">
        <v>55</v>
      </c>
      <c r="K30" s="12" t="s">
        <v>5</v>
      </c>
      <c r="L30" s="12" t="s">
        <v>55</v>
      </c>
      <c r="M30" s="13" t="str">
        <f aca="false">IF(COUNTIF(G30:L30,"Fail")&gt;0,"Fail",IF(COUNTIF(G30:L30,"Pass")&gt;0,"Pass","Skip"))</f>
        <v>Pass</v>
      </c>
      <c r="N30" s="12" t="s">
        <v>5</v>
      </c>
      <c r="O30" s="12" t="s">
        <v>204</v>
      </c>
    </row>
    <row r="31" customFormat="false" ht="35.05" hidden="false" customHeight="false" outlineLevel="0" collapsed="false">
      <c r="A31" s="12" t="s">
        <v>205</v>
      </c>
      <c r="B31" s="12" t="s">
        <v>206</v>
      </c>
      <c r="C31" s="12" t="s">
        <v>200</v>
      </c>
      <c r="D31" s="12" t="s">
        <v>207</v>
      </c>
      <c r="E31" s="12" t="s">
        <v>208</v>
      </c>
      <c r="F31" s="12" t="s">
        <v>209</v>
      </c>
      <c r="G31" s="12" t="s">
        <v>5</v>
      </c>
      <c r="H31" s="12" t="s">
        <v>55</v>
      </c>
      <c r="I31" s="12" t="s">
        <v>5</v>
      </c>
      <c r="J31" s="12" t="s">
        <v>55</v>
      </c>
      <c r="K31" s="12" t="s">
        <v>6</v>
      </c>
      <c r="L31" s="12" t="s">
        <v>55</v>
      </c>
      <c r="M31" s="13" t="str">
        <f aca="false">IF(COUNTIF(G31:L31,"Fail")&gt;0,"Fail",IF(COUNTIF(G31:L31,"Pass")&gt;0,"Pass","Skip"))</f>
        <v>Fail</v>
      </c>
      <c r="N31" s="12" t="s">
        <v>6</v>
      </c>
      <c r="O31" s="12" t="s">
        <v>210</v>
      </c>
    </row>
    <row r="32" customFormat="false" ht="15" hidden="false" customHeight="false" outlineLevel="0" collapsed="false">
      <c r="A32" s="12" t="s">
        <v>211</v>
      </c>
      <c r="B32" s="12" t="s">
        <v>212</v>
      </c>
      <c r="C32" s="12" t="s">
        <v>51</v>
      </c>
      <c r="D32" s="12" t="s">
        <v>213</v>
      </c>
      <c r="E32" s="12" t="s">
        <v>214</v>
      </c>
      <c r="F32" s="12" t="s">
        <v>215</v>
      </c>
      <c r="G32" s="12" t="s">
        <v>55</v>
      </c>
      <c r="H32" s="12" t="s">
        <v>5</v>
      </c>
      <c r="I32" s="12" t="s">
        <v>55</v>
      </c>
      <c r="J32" s="12" t="s">
        <v>5</v>
      </c>
      <c r="K32" s="12" t="s">
        <v>55</v>
      </c>
      <c r="L32" s="12" t="s">
        <v>5</v>
      </c>
      <c r="M32" s="13" t="str">
        <f aca="false">IF(COUNTIF(G32:L32,"Fail")&gt;0,"Fail",IF(COUNTIF(G32:L32,"Pass")&gt;0,"Pass","Skip"))</f>
        <v>Pass</v>
      </c>
      <c r="N32" s="12" t="s">
        <v>5</v>
      </c>
      <c r="O32" s="12" t="s">
        <v>216</v>
      </c>
    </row>
    <row r="33" customFormat="false" ht="15" hidden="false" customHeight="false" outlineLevel="0" collapsed="false">
      <c r="A33" s="12" t="s">
        <v>217</v>
      </c>
      <c r="B33" s="12" t="s">
        <v>212</v>
      </c>
      <c r="C33" s="12" t="s">
        <v>51</v>
      </c>
      <c r="D33" s="12" t="s">
        <v>218</v>
      </c>
      <c r="E33" s="12" t="s">
        <v>219</v>
      </c>
      <c r="F33" s="12" t="s">
        <v>220</v>
      </c>
      <c r="G33" s="12" t="s">
        <v>55</v>
      </c>
      <c r="H33" s="12" t="s">
        <v>5</v>
      </c>
      <c r="I33" s="12" t="s">
        <v>55</v>
      </c>
      <c r="J33" s="12" t="s">
        <v>5</v>
      </c>
      <c r="K33" s="12" t="s">
        <v>55</v>
      </c>
      <c r="L33" s="12" t="s">
        <v>5</v>
      </c>
      <c r="M33" s="13" t="str">
        <f aca="false">IF(COUNTIF(G33:L33,"Fail")&gt;0,"Fail",IF(COUNTIF(G33:L33,"Pass")&gt;0,"Pass","Skip"))</f>
        <v>Pass</v>
      </c>
      <c r="N33" s="12" t="s">
        <v>5</v>
      </c>
      <c r="O33" s="12" t="s">
        <v>221</v>
      </c>
    </row>
    <row r="34" customFormat="false" ht="23.85" hidden="false" customHeight="false" outlineLevel="0" collapsed="false">
      <c r="A34" s="12" t="s">
        <v>222</v>
      </c>
      <c r="B34" s="12" t="s">
        <v>212</v>
      </c>
      <c r="C34" s="12" t="s">
        <v>79</v>
      </c>
      <c r="D34" s="12" t="s">
        <v>223</v>
      </c>
      <c r="E34" s="12" t="s">
        <v>224</v>
      </c>
      <c r="F34" s="12" t="s">
        <v>225</v>
      </c>
      <c r="G34" s="12" t="s">
        <v>55</v>
      </c>
      <c r="H34" s="12" t="s">
        <v>5</v>
      </c>
      <c r="I34" s="12" t="s">
        <v>55</v>
      </c>
      <c r="J34" s="12" t="s">
        <v>5</v>
      </c>
      <c r="K34" s="12" t="s">
        <v>55</v>
      </c>
      <c r="L34" s="12" t="s">
        <v>5</v>
      </c>
      <c r="M34" s="13" t="str">
        <f aca="false">IF(COUNTIF(G34:L34,"Fail")&gt;0,"Fail",IF(COUNTIF(G34:L34,"Pass")&gt;0,"Pass","Skip"))</f>
        <v>Pass</v>
      </c>
      <c r="N34" s="12" t="s">
        <v>5</v>
      </c>
      <c r="O34" s="12" t="s">
        <v>226</v>
      </c>
    </row>
    <row r="35" customFormat="false" ht="15" hidden="false" customHeight="false" outlineLevel="0" collapsed="false">
      <c r="A35" s="12" t="s">
        <v>227</v>
      </c>
      <c r="B35" s="12" t="s">
        <v>212</v>
      </c>
      <c r="C35" s="12" t="s">
        <v>51</v>
      </c>
      <c r="D35" s="12" t="s">
        <v>228</v>
      </c>
      <c r="E35" s="12" t="s">
        <v>229</v>
      </c>
      <c r="F35" s="12" t="s">
        <v>230</v>
      </c>
      <c r="G35" s="12" t="s">
        <v>55</v>
      </c>
      <c r="H35" s="12" t="s">
        <v>5</v>
      </c>
      <c r="I35" s="12" t="s">
        <v>55</v>
      </c>
      <c r="J35" s="12" t="s">
        <v>5</v>
      </c>
      <c r="K35" s="12" t="s">
        <v>55</v>
      </c>
      <c r="L35" s="12" t="s">
        <v>5</v>
      </c>
      <c r="M35" s="13" t="str">
        <f aca="false">IF(COUNTIF(G35:L35,"Fail")&gt;0,"Fail",IF(COUNTIF(G35:L35,"Pass")&gt;0,"Pass","Skip"))</f>
        <v>Pass</v>
      </c>
      <c r="N35" s="12" t="s">
        <v>5</v>
      </c>
      <c r="O35" s="12" t="s">
        <v>231</v>
      </c>
    </row>
    <row r="36" customFormat="false" ht="15" hidden="false" customHeight="false" outlineLevel="0" collapsed="false">
      <c r="A36" s="12" t="s">
        <v>232</v>
      </c>
      <c r="B36" s="12" t="s">
        <v>212</v>
      </c>
      <c r="C36" s="12" t="s">
        <v>51</v>
      </c>
      <c r="D36" s="12" t="s">
        <v>233</v>
      </c>
      <c r="E36" s="12" t="s">
        <v>234</v>
      </c>
      <c r="F36" s="12" t="s">
        <v>235</v>
      </c>
      <c r="G36" s="12" t="s">
        <v>55</v>
      </c>
      <c r="H36" s="12" t="s">
        <v>5</v>
      </c>
      <c r="I36" s="12" t="s">
        <v>55</v>
      </c>
      <c r="J36" s="12" t="s">
        <v>5</v>
      </c>
      <c r="K36" s="12" t="s">
        <v>55</v>
      </c>
      <c r="L36" s="12" t="s">
        <v>5</v>
      </c>
      <c r="M36" s="13" t="str">
        <f aca="false">IF(COUNTIF(G36:L36,"Fail")&gt;0,"Fail",IF(COUNTIF(G36:L36,"Pass")&gt;0,"Pass","Skip"))</f>
        <v>Pass</v>
      </c>
      <c r="N36" s="12" t="s">
        <v>5</v>
      </c>
      <c r="O36" s="12" t="s">
        <v>236</v>
      </c>
    </row>
    <row r="37" customFormat="false" ht="15" hidden="false" customHeight="false" outlineLevel="0" collapsed="false">
      <c r="A37" s="12" t="s">
        <v>237</v>
      </c>
      <c r="B37" s="12" t="s">
        <v>212</v>
      </c>
      <c r="C37" s="12" t="s">
        <v>51</v>
      </c>
      <c r="D37" s="12" t="s">
        <v>238</v>
      </c>
      <c r="E37" s="12" t="s">
        <v>239</v>
      </c>
      <c r="F37" s="12" t="s">
        <v>240</v>
      </c>
      <c r="G37" s="12" t="s">
        <v>55</v>
      </c>
      <c r="H37" s="12" t="s">
        <v>5</v>
      </c>
      <c r="I37" s="12" t="s">
        <v>55</v>
      </c>
      <c r="J37" s="12" t="s">
        <v>5</v>
      </c>
      <c r="K37" s="12" t="s">
        <v>55</v>
      </c>
      <c r="L37" s="12" t="s">
        <v>5</v>
      </c>
      <c r="M37" s="13" t="str">
        <f aca="false">IF(COUNTIF(G37:L37,"Fail")&gt;0,"Fail",IF(COUNTIF(G37:L37,"Pass")&gt;0,"Pass","Skip"))</f>
        <v>Pass</v>
      </c>
      <c r="N37" s="12" t="s">
        <v>5</v>
      </c>
      <c r="O37" s="12" t="s">
        <v>241</v>
      </c>
    </row>
  </sheetData>
  <autoFilter ref="A1:O37"/>
  <conditionalFormatting sqref="G2:N37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7">
      <formula>"Fixed"</formula>
    </cfRule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8">
      <formula>"Open"</formula>
    </cfRule>
    <cfRule type="cellIs" priority="6" operator="equal" aboveAverage="0" equalAverage="0" bottom="0" percent="0" rank="0" text="" dxfId="7">
      <formula>"Closed"</formula>
    </cfRule>
    <cfRule type="cellIs" priority="7" operator="equal" aboveAverage="0" equalAverage="0" bottom="0" percent="0" rank="0" text="" dxfId="9">
      <formula>"Not tested"</formula>
    </cfRule>
    <cfRule type="cellIs" priority="8" operator="equal" aboveAverage="0" equalAverage="0" bottom="0" percent="0" rank="0" text="" dxfId="9">
      <formula>"Skip"</formula>
    </cfRule>
    <cfRule type="cellIs" priority="9" operator="equal" aboveAverage="0" equalAverage="0" bottom="0" percent="0" rank="0" text="" dxfId="10">
      <formula>"Owner decision"</formula>
    </cfRule>
    <cfRule type="cellIs" priority="10" operator="equal" aboveAverage="0" equalAverage="0" bottom="0" percent="0" rank="0" text="" dxfId="10">
      <formula>"Partly fixed"</formula>
    </cfRule>
    <cfRule type="cellIs" priority="11" operator="equal" aboveAverage="0" equalAverage="0" bottom="0" percent="0" rank="0" text="" dxfId="10">
      <formula>"Known issue"</formula>
    </cfRule>
    <cfRule type="cellIs" priority="12" operator="equal" aboveAverage="0" equalAverage="0" bottom="0" percent="0" rank="0" text="" dxfId="9">
      <formula>"Planned"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30" hidden="false" customHeight="true" outlineLevel="0" collapsed="false">
      <c r="A1" s="11" t="s">
        <v>34</v>
      </c>
      <c r="B1" s="11" t="s">
        <v>35</v>
      </c>
      <c r="C1" s="11" t="s">
        <v>37</v>
      </c>
      <c r="D1" s="11" t="s">
        <v>242</v>
      </c>
      <c r="E1" s="11" t="s">
        <v>39</v>
      </c>
      <c r="F1" s="11" t="s">
        <v>46</v>
      </c>
      <c r="G1" s="11" t="s">
        <v>47</v>
      </c>
      <c r="H1" s="11" t="s">
        <v>243</v>
      </c>
      <c r="I1" s="11" t="s">
        <v>48</v>
      </c>
    </row>
    <row r="2" customFormat="false" ht="15" hidden="false" customHeight="false" outlineLevel="0" collapsed="false">
      <c r="A2" s="12" t="s">
        <v>244</v>
      </c>
      <c r="B2" s="12" t="s">
        <v>245</v>
      </c>
      <c r="C2" s="12" t="s">
        <v>246</v>
      </c>
      <c r="D2" s="12" t="s">
        <v>247</v>
      </c>
      <c r="E2" s="12" t="s">
        <v>248</v>
      </c>
      <c r="F2" s="12" t="s">
        <v>5</v>
      </c>
      <c r="G2" s="12" t="s">
        <v>5</v>
      </c>
      <c r="H2" s="12" t="s">
        <v>249</v>
      </c>
      <c r="I2" s="12" t="s">
        <v>250</v>
      </c>
    </row>
    <row r="3" customFormat="false" ht="15" hidden="false" customHeight="false" outlineLevel="0" collapsed="false">
      <c r="A3" s="12" t="s">
        <v>251</v>
      </c>
      <c r="B3" s="12" t="s">
        <v>245</v>
      </c>
      <c r="C3" s="12" t="s">
        <v>252</v>
      </c>
      <c r="D3" s="12" t="s">
        <v>253</v>
      </c>
      <c r="E3" s="12" t="s">
        <v>254</v>
      </c>
      <c r="F3" s="12" t="s">
        <v>5</v>
      </c>
      <c r="G3" s="12" t="s">
        <v>5</v>
      </c>
      <c r="H3" s="12" t="s">
        <v>249</v>
      </c>
      <c r="I3" s="12" t="s">
        <v>255</v>
      </c>
    </row>
    <row r="4" customFormat="false" ht="15" hidden="false" customHeight="false" outlineLevel="0" collapsed="false">
      <c r="A4" s="12" t="s">
        <v>256</v>
      </c>
      <c r="B4" s="12" t="s">
        <v>245</v>
      </c>
      <c r="C4" s="12" t="s">
        <v>257</v>
      </c>
      <c r="D4" s="12" t="s">
        <v>258</v>
      </c>
      <c r="E4" s="12" t="s">
        <v>259</v>
      </c>
      <c r="F4" s="12" t="s">
        <v>5</v>
      </c>
      <c r="G4" s="12" t="s">
        <v>5</v>
      </c>
      <c r="H4" s="12" t="s">
        <v>249</v>
      </c>
      <c r="I4" s="12" t="s">
        <v>260</v>
      </c>
    </row>
    <row r="5" customFormat="false" ht="15" hidden="false" customHeight="false" outlineLevel="0" collapsed="false">
      <c r="A5" s="12" t="s">
        <v>261</v>
      </c>
      <c r="B5" s="12" t="s">
        <v>245</v>
      </c>
      <c r="C5" s="12" t="s">
        <v>262</v>
      </c>
      <c r="D5" s="12" t="s">
        <v>263</v>
      </c>
      <c r="E5" s="12" t="s">
        <v>264</v>
      </c>
      <c r="F5" s="12" t="s">
        <v>5</v>
      </c>
      <c r="G5" s="12" t="s">
        <v>5</v>
      </c>
      <c r="H5" s="12" t="s">
        <v>249</v>
      </c>
      <c r="I5" s="12" t="s">
        <v>265</v>
      </c>
    </row>
    <row r="6" customFormat="false" ht="35.05" hidden="false" customHeight="false" outlineLevel="0" collapsed="false">
      <c r="A6" s="12" t="s">
        <v>266</v>
      </c>
      <c r="B6" s="12" t="s">
        <v>267</v>
      </c>
      <c r="C6" s="12" t="s">
        <v>268</v>
      </c>
      <c r="D6" s="12" t="s">
        <v>253</v>
      </c>
      <c r="E6" s="12" t="s">
        <v>269</v>
      </c>
      <c r="F6" s="12" t="s">
        <v>5</v>
      </c>
      <c r="G6" s="12" t="s">
        <v>5</v>
      </c>
      <c r="H6" s="12" t="s">
        <v>249</v>
      </c>
      <c r="I6" s="12" t="s">
        <v>270</v>
      </c>
    </row>
    <row r="7" customFormat="false" ht="15" hidden="false" customHeight="false" outlineLevel="0" collapsed="false">
      <c r="A7" s="12" t="s">
        <v>271</v>
      </c>
      <c r="B7" s="12" t="s">
        <v>267</v>
      </c>
      <c r="C7" s="12" t="s">
        <v>272</v>
      </c>
      <c r="D7" s="12" t="s">
        <v>253</v>
      </c>
      <c r="E7" s="12" t="s">
        <v>273</v>
      </c>
      <c r="F7" s="12" t="s">
        <v>5</v>
      </c>
      <c r="G7" s="12" t="s">
        <v>5</v>
      </c>
      <c r="H7" s="12" t="s">
        <v>249</v>
      </c>
      <c r="I7" s="12" t="s">
        <v>274</v>
      </c>
    </row>
    <row r="8" customFormat="false" ht="15" hidden="false" customHeight="false" outlineLevel="0" collapsed="false">
      <c r="A8" s="12" t="s">
        <v>275</v>
      </c>
      <c r="B8" s="12" t="s">
        <v>267</v>
      </c>
      <c r="C8" s="12" t="s">
        <v>276</v>
      </c>
      <c r="D8" s="12" t="s">
        <v>253</v>
      </c>
      <c r="E8" s="12" t="s">
        <v>277</v>
      </c>
      <c r="F8" s="12" t="s">
        <v>5</v>
      </c>
      <c r="G8" s="12" t="s">
        <v>5</v>
      </c>
      <c r="H8" s="12" t="s">
        <v>249</v>
      </c>
      <c r="I8" s="12" t="s">
        <v>278</v>
      </c>
    </row>
    <row r="9" customFormat="false" ht="15" hidden="false" customHeight="false" outlineLevel="0" collapsed="false">
      <c r="A9" s="12" t="s">
        <v>279</v>
      </c>
      <c r="B9" s="12" t="s">
        <v>267</v>
      </c>
      <c r="C9" s="12" t="s">
        <v>280</v>
      </c>
      <c r="D9" s="12" t="s">
        <v>253</v>
      </c>
      <c r="E9" s="12" t="s">
        <v>281</v>
      </c>
      <c r="F9" s="12" t="s">
        <v>5</v>
      </c>
      <c r="G9" s="12" t="s">
        <v>5</v>
      </c>
      <c r="H9" s="12" t="s">
        <v>249</v>
      </c>
      <c r="I9" s="12" t="s">
        <v>282</v>
      </c>
    </row>
    <row r="10" customFormat="false" ht="15" hidden="false" customHeight="false" outlineLevel="0" collapsed="false">
      <c r="A10" s="12" t="s">
        <v>283</v>
      </c>
      <c r="B10" s="12" t="s">
        <v>267</v>
      </c>
      <c r="C10" s="12" t="s">
        <v>284</v>
      </c>
      <c r="D10" s="12" t="s">
        <v>253</v>
      </c>
      <c r="E10" s="12" t="s">
        <v>285</v>
      </c>
      <c r="F10" s="12" t="s">
        <v>5</v>
      </c>
      <c r="G10" s="12" t="s">
        <v>5</v>
      </c>
      <c r="H10" s="12" t="s">
        <v>249</v>
      </c>
      <c r="I10" s="12" t="s">
        <v>286</v>
      </c>
    </row>
    <row r="11" customFormat="false" ht="23.85" hidden="false" customHeight="false" outlineLevel="0" collapsed="false">
      <c r="A11" s="12" t="s">
        <v>287</v>
      </c>
      <c r="B11" s="12" t="s">
        <v>288</v>
      </c>
      <c r="C11" s="12" t="s">
        <v>289</v>
      </c>
      <c r="D11" s="12" t="s">
        <v>253</v>
      </c>
      <c r="E11" s="12" t="s">
        <v>290</v>
      </c>
      <c r="F11" s="12" t="s">
        <v>5</v>
      </c>
      <c r="G11" s="12" t="s">
        <v>5</v>
      </c>
      <c r="H11" s="12" t="s">
        <v>249</v>
      </c>
      <c r="I11" s="12" t="s">
        <v>291</v>
      </c>
    </row>
    <row r="12" customFormat="false" ht="15" hidden="false" customHeight="false" outlineLevel="0" collapsed="false">
      <c r="A12" s="12" t="s">
        <v>292</v>
      </c>
      <c r="B12" s="12" t="s">
        <v>293</v>
      </c>
      <c r="C12" s="12" t="s">
        <v>294</v>
      </c>
      <c r="D12" s="12" t="s">
        <v>295</v>
      </c>
      <c r="E12" s="12" t="s">
        <v>296</v>
      </c>
      <c r="F12" s="12" t="s">
        <v>5</v>
      </c>
      <c r="G12" s="12" t="s">
        <v>5</v>
      </c>
      <c r="H12" s="12" t="s">
        <v>249</v>
      </c>
      <c r="I12" s="12" t="s">
        <v>297</v>
      </c>
    </row>
    <row r="13" customFormat="false" ht="23.85" hidden="false" customHeight="false" outlineLevel="0" collapsed="false">
      <c r="A13" s="12" t="s">
        <v>298</v>
      </c>
      <c r="B13" s="12" t="s">
        <v>299</v>
      </c>
      <c r="C13" s="12" t="s">
        <v>300</v>
      </c>
      <c r="D13" s="12" t="s">
        <v>301</v>
      </c>
      <c r="E13" s="12" t="s">
        <v>302</v>
      </c>
      <c r="F13" s="12" t="s">
        <v>5</v>
      </c>
      <c r="G13" s="12" t="s">
        <v>5</v>
      </c>
      <c r="H13" s="12" t="s">
        <v>249</v>
      </c>
      <c r="I13" s="12" t="s">
        <v>303</v>
      </c>
    </row>
    <row r="14" customFormat="false" ht="15" hidden="false" customHeight="false" outlineLevel="0" collapsed="false">
      <c r="A14" s="12" t="s">
        <v>304</v>
      </c>
      <c r="B14" s="12" t="s">
        <v>299</v>
      </c>
      <c r="C14" s="12" t="s">
        <v>305</v>
      </c>
      <c r="D14" s="12" t="s">
        <v>306</v>
      </c>
      <c r="E14" s="12" t="s">
        <v>307</v>
      </c>
      <c r="F14" s="12" t="s">
        <v>5</v>
      </c>
      <c r="G14" s="12" t="s">
        <v>5</v>
      </c>
      <c r="H14" s="12" t="s">
        <v>249</v>
      </c>
      <c r="I14" s="12" t="s">
        <v>308</v>
      </c>
    </row>
    <row r="15" customFormat="false" ht="15" hidden="false" customHeight="false" outlineLevel="0" collapsed="false">
      <c r="A15" s="12" t="s">
        <v>309</v>
      </c>
      <c r="B15" s="12" t="s">
        <v>310</v>
      </c>
      <c r="C15" s="12" t="s">
        <v>311</v>
      </c>
      <c r="D15" s="12" t="s">
        <v>312</v>
      </c>
      <c r="E15" s="12" t="s">
        <v>313</v>
      </c>
      <c r="F15" s="12" t="s">
        <v>5</v>
      </c>
      <c r="G15" s="12" t="s">
        <v>5</v>
      </c>
      <c r="H15" s="12" t="s">
        <v>249</v>
      </c>
      <c r="I15" s="12" t="s">
        <v>314</v>
      </c>
    </row>
    <row r="16" customFormat="false" ht="15" hidden="false" customHeight="false" outlineLevel="0" collapsed="false">
      <c r="A16" s="12" t="s">
        <v>315</v>
      </c>
      <c r="B16" s="12" t="s">
        <v>316</v>
      </c>
      <c r="C16" s="12" t="s">
        <v>317</v>
      </c>
      <c r="D16" s="12" t="s">
        <v>318</v>
      </c>
      <c r="E16" s="12" t="s">
        <v>319</v>
      </c>
      <c r="F16" s="12" t="s">
        <v>5</v>
      </c>
      <c r="G16" s="12" t="s">
        <v>5</v>
      </c>
      <c r="H16" s="12" t="s">
        <v>249</v>
      </c>
      <c r="I16" s="12" t="s">
        <v>320</v>
      </c>
    </row>
    <row r="17" customFormat="false" ht="15" hidden="false" customHeight="false" outlineLevel="0" collapsed="false">
      <c r="A17" s="12" t="s">
        <v>321</v>
      </c>
      <c r="B17" s="12" t="s">
        <v>322</v>
      </c>
      <c r="C17" s="12" t="s">
        <v>323</v>
      </c>
      <c r="D17" s="12" t="s">
        <v>324</v>
      </c>
      <c r="E17" s="12" t="s">
        <v>325</v>
      </c>
      <c r="F17" s="12" t="s">
        <v>5</v>
      </c>
      <c r="G17" s="12" t="s">
        <v>5</v>
      </c>
      <c r="H17" s="12" t="s">
        <v>249</v>
      </c>
      <c r="I17" s="12" t="s">
        <v>326</v>
      </c>
    </row>
    <row r="18" customFormat="false" ht="15" hidden="false" customHeight="false" outlineLevel="0" collapsed="false">
      <c r="A18" s="12" t="s">
        <v>327</v>
      </c>
      <c r="B18" s="12" t="s">
        <v>310</v>
      </c>
      <c r="C18" s="12" t="s">
        <v>328</v>
      </c>
      <c r="D18" s="12" t="s">
        <v>329</v>
      </c>
      <c r="E18" s="12" t="s">
        <v>330</v>
      </c>
      <c r="F18" s="12" t="s">
        <v>5</v>
      </c>
      <c r="G18" s="12" t="s">
        <v>5</v>
      </c>
      <c r="H18" s="12" t="s">
        <v>249</v>
      </c>
      <c r="I18" s="12" t="s">
        <v>331</v>
      </c>
    </row>
    <row r="19" customFormat="false" ht="15" hidden="false" customHeight="false" outlineLevel="0" collapsed="false">
      <c r="A19" s="12" t="s">
        <v>332</v>
      </c>
      <c r="B19" s="12" t="s">
        <v>245</v>
      </c>
      <c r="C19" s="12" t="s">
        <v>333</v>
      </c>
      <c r="D19" s="12" t="s">
        <v>334</v>
      </c>
      <c r="E19" s="12" t="s">
        <v>335</v>
      </c>
      <c r="F19" s="12" t="s">
        <v>5</v>
      </c>
      <c r="G19" s="12" t="s">
        <v>5</v>
      </c>
      <c r="H19" s="12" t="s">
        <v>249</v>
      </c>
      <c r="I19" s="12" t="s">
        <v>336</v>
      </c>
    </row>
    <row r="20" customFormat="false" ht="23.85" hidden="false" customHeight="false" outlineLevel="0" collapsed="false">
      <c r="A20" s="12" t="s">
        <v>337</v>
      </c>
      <c r="B20" s="12" t="s">
        <v>338</v>
      </c>
      <c r="C20" s="12" t="s">
        <v>339</v>
      </c>
      <c r="D20" s="12" t="s">
        <v>340</v>
      </c>
      <c r="E20" s="12" t="s">
        <v>341</v>
      </c>
      <c r="F20" s="12" t="s">
        <v>5</v>
      </c>
      <c r="G20" s="12" t="s">
        <v>5</v>
      </c>
      <c r="H20" s="12" t="s">
        <v>249</v>
      </c>
      <c r="I20" s="12" t="s">
        <v>342</v>
      </c>
    </row>
    <row r="21" customFormat="false" ht="15" hidden="false" customHeight="false" outlineLevel="0" collapsed="false">
      <c r="A21" s="12" t="s">
        <v>343</v>
      </c>
      <c r="B21" s="12" t="s">
        <v>338</v>
      </c>
      <c r="C21" s="12" t="s">
        <v>344</v>
      </c>
      <c r="D21" s="12" t="s">
        <v>345</v>
      </c>
      <c r="E21" s="12" t="s">
        <v>346</v>
      </c>
      <c r="F21" s="12" t="s">
        <v>5</v>
      </c>
      <c r="G21" s="12" t="s">
        <v>5</v>
      </c>
      <c r="H21" s="12" t="s">
        <v>249</v>
      </c>
      <c r="I21" s="12" t="s">
        <v>347</v>
      </c>
    </row>
    <row r="22" customFormat="false" ht="15" hidden="false" customHeight="false" outlineLevel="0" collapsed="false">
      <c r="A22" s="12" t="s">
        <v>348</v>
      </c>
      <c r="B22" s="12" t="s">
        <v>310</v>
      </c>
      <c r="C22" s="12" t="s">
        <v>349</v>
      </c>
      <c r="D22" s="12" t="s">
        <v>350</v>
      </c>
      <c r="E22" s="12" t="s">
        <v>351</v>
      </c>
      <c r="F22" s="12" t="s">
        <v>5</v>
      </c>
      <c r="G22" s="12" t="s">
        <v>5</v>
      </c>
      <c r="H22" s="12" t="s">
        <v>249</v>
      </c>
      <c r="I22" s="12" t="s">
        <v>352</v>
      </c>
    </row>
    <row r="23" customFormat="false" ht="35.05" hidden="false" customHeight="false" outlineLevel="0" collapsed="false">
      <c r="A23" s="12" t="s">
        <v>353</v>
      </c>
      <c r="B23" s="12" t="s">
        <v>354</v>
      </c>
      <c r="C23" s="12" t="s">
        <v>355</v>
      </c>
      <c r="D23" s="12" t="s">
        <v>356</v>
      </c>
      <c r="E23" s="12" t="s">
        <v>357</v>
      </c>
      <c r="F23" s="12" t="s">
        <v>5</v>
      </c>
      <c r="G23" s="12" t="s">
        <v>6</v>
      </c>
      <c r="H23" s="12" t="s">
        <v>249</v>
      </c>
      <c r="I23" s="12" t="s">
        <v>358</v>
      </c>
    </row>
    <row r="24" customFormat="false" ht="23.85" hidden="false" customHeight="false" outlineLevel="0" collapsed="false">
      <c r="A24" s="12" t="s">
        <v>359</v>
      </c>
      <c r="B24" s="12" t="s">
        <v>360</v>
      </c>
      <c r="C24" s="12" t="s">
        <v>361</v>
      </c>
      <c r="D24" s="12" t="s">
        <v>362</v>
      </c>
      <c r="E24" s="12" t="s">
        <v>363</v>
      </c>
      <c r="F24" s="12" t="s">
        <v>26</v>
      </c>
      <c r="G24" s="12" t="s">
        <v>26</v>
      </c>
      <c r="H24" s="12" t="s">
        <v>249</v>
      </c>
      <c r="I24" s="12" t="s">
        <v>364</v>
      </c>
    </row>
    <row r="25" customFormat="false" ht="23.85" hidden="false" customHeight="false" outlineLevel="0" collapsed="false">
      <c r="A25" s="12" t="s">
        <v>365</v>
      </c>
      <c r="B25" s="12" t="s">
        <v>338</v>
      </c>
      <c r="C25" s="12" t="s">
        <v>366</v>
      </c>
      <c r="D25" s="12" t="s">
        <v>367</v>
      </c>
      <c r="E25" s="12" t="s">
        <v>368</v>
      </c>
      <c r="F25" s="12" t="s">
        <v>5</v>
      </c>
      <c r="G25" s="12" t="s">
        <v>5</v>
      </c>
      <c r="H25" s="12" t="s">
        <v>249</v>
      </c>
      <c r="I25" s="12" t="s">
        <v>369</v>
      </c>
    </row>
    <row r="26" customFormat="false" ht="23.85" hidden="false" customHeight="false" outlineLevel="0" collapsed="false">
      <c r="A26" s="12" t="s">
        <v>370</v>
      </c>
      <c r="B26" s="12" t="s">
        <v>338</v>
      </c>
      <c r="C26" s="12" t="s">
        <v>371</v>
      </c>
      <c r="D26" s="12" t="s">
        <v>372</v>
      </c>
      <c r="E26" s="12" t="s">
        <v>373</v>
      </c>
      <c r="F26" s="12" t="s">
        <v>5</v>
      </c>
      <c r="G26" s="12" t="s">
        <v>5</v>
      </c>
      <c r="H26" s="12" t="s">
        <v>249</v>
      </c>
      <c r="I26" s="12" t="s">
        <v>374</v>
      </c>
    </row>
    <row r="27" customFormat="false" ht="23.85" hidden="false" customHeight="false" outlineLevel="0" collapsed="false">
      <c r="A27" s="12" t="s">
        <v>375</v>
      </c>
      <c r="B27" s="12" t="s">
        <v>338</v>
      </c>
      <c r="C27" s="12" t="s">
        <v>376</v>
      </c>
      <c r="D27" s="12" t="s">
        <v>377</v>
      </c>
      <c r="E27" s="12" t="s">
        <v>346</v>
      </c>
      <c r="F27" s="12" t="s">
        <v>5</v>
      </c>
      <c r="G27" s="12" t="s">
        <v>5</v>
      </c>
      <c r="H27" s="12" t="s">
        <v>249</v>
      </c>
      <c r="I27" s="12" t="s">
        <v>378</v>
      </c>
    </row>
    <row r="28" customFormat="false" ht="23.85" hidden="false" customHeight="false" outlineLevel="0" collapsed="false">
      <c r="A28" s="12" t="s">
        <v>379</v>
      </c>
      <c r="B28" s="12" t="s">
        <v>380</v>
      </c>
      <c r="C28" s="12" t="s">
        <v>381</v>
      </c>
      <c r="D28" s="12" t="s">
        <v>382</v>
      </c>
      <c r="E28" s="12" t="s">
        <v>383</v>
      </c>
      <c r="F28" s="12" t="s">
        <v>5</v>
      </c>
      <c r="G28" s="12" t="s">
        <v>5</v>
      </c>
      <c r="H28" s="12" t="s">
        <v>249</v>
      </c>
      <c r="I28" s="12" t="s">
        <v>384</v>
      </c>
    </row>
    <row r="29" customFormat="false" ht="23.85" hidden="false" customHeight="false" outlineLevel="0" collapsed="false">
      <c r="A29" s="12" t="s">
        <v>385</v>
      </c>
      <c r="B29" s="12" t="s">
        <v>386</v>
      </c>
      <c r="C29" s="12" t="s">
        <v>387</v>
      </c>
      <c r="D29" s="12" t="s">
        <v>388</v>
      </c>
      <c r="E29" s="12" t="s">
        <v>389</v>
      </c>
      <c r="F29" s="12" t="s">
        <v>5</v>
      </c>
      <c r="G29" s="12" t="s">
        <v>5</v>
      </c>
      <c r="H29" s="12" t="s">
        <v>249</v>
      </c>
      <c r="I29" s="12" t="s">
        <v>390</v>
      </c>
    </row>
    <row r="30" customFormat="false" ht="35.05" hidden="false" customHeight="false" outlineLevel="0" collapsed="false">
      <c r="A30" s="12" t="s">
        <v>391</v>
      </c>
      <c r="B30" s="12" t="s">
        <v>386</v>
      </c>
      <c r="C30" s="12" t="s">
        <v>392</v>
      </c>
      <c r="D30" s="12" t="s">
        <v>393</v>
      </c>
      <c r="E30" s="12" t="s">
        <v>394</v>
      </c>
      <c r="F30" s="12" t="s">
        <v>5</v>
      </c>
      <c r="G30" s="12" t="s">
        <v>5</v>
      </c>
      <c r="H30" s="12" t="s">
        <v>249</v>
      </c>
      <c r="I30" s="12" t="s">
        <v>395</v>
      </c>
    </row>
  </sheetData>
  <autoFilter ref="A1:I30"/>
  <conditionalFormatting sqref="F2:G30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7">
      <formula>"Fixed"</formula>
    </cfRule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8">
      <formula>"Open"</formula>
    </cfRule>
    <cfRule type="cellIs" priority="6" operator="equal" aboveAverage="0" equalAverage="0" bottom="0" percent="0" rank="0" text="" dxfId="7">
      <formula>"Closed"</formula>
    </cfRule>
    <cfRule type="cellIs" priority="7" operator="equal" aboveAverage="0" equalAverage="0" bottom="0" percent="0" rank="0" text="" dxfId="9">
      <formula>"Not tested"</formula>
    </cfRule>
    <cfRule type="cellIs" priority="8" operator="equal" aboveAverage="0" equalAverage="0" bottom="0" percent="0" rank="0" text="" dxfId="9">
      <formula>"Skip"</formula>
    </cfRule>
    <cfRule type="cellIs" priority="9" operator="equal" aboveAverage="0" equalAverage="0" bottom="0" percent="0" rank="0" text="" dxfId="10">
      <formula>"Owner decision"</formula>
    </cfRule>
    <cfRule type="cellIs" priority="10" operator="equal" aboveAverage="0" equalAverage="0" bottom="0" percent="0" rank="0" text="" dxfId="10">
      <formula>"Partly fixed"</formula>
    </cfRule>
    <cfRule type="cellIs" priority="11" operator="equal" aboveAverage="0" equalAverage="0" bottom="0" percent="0" rank="0" text="" dxfId="10">
      <formula>"Known issue"</formula>
    </cfRule>
    <cfRule type="cellIs" priority="12" operator="equal" aboveAverage="0" equalAverage="0" bottom="0" percent="0" rank="0" text="" dxfId="9">
      <formula>"Planned"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6" min="5" style="0" width="60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1" t="s">
        <v>396</v>
      </c>
      <c r="B1" s="11" t="s">
        <v>397</v>
      </c>
      <c r="C1" s="11" t="s">
        <v>398</v>
      </c>
      <c r="D1" s="11" t="s">
        <v>399</v>
      </c>
      <c r="E1" s="11" t="s">
        <v>400</v>
      </c>
      <c r="F1" s="11" t="s">
        <v>401</v>
      </c>
      <c r="G1" s="11" t="s">
        <v>402</v>
      </c>
      <c r="H1" s="11" t="s">
        <v>403</v>
      </c>
    </row>
    <row r="2" customFormat="false" ht="23.85" hidden="false" customHeight="false" outlineLevel="0" collapsed="false">
      <c r="A2" s="12" t="s">
        <v>404</v>
      </c>
      <c r="B2" s="12" t="s">
        <v>405</v>
      </c>
      <c r="C2" s="14" t="s">
        <v>406</v>
      </c>
      <c r="D2" s="12" t="s">
        <v>407</v>
      </c>
      <c r="E2" s="12" t="s">
        <v>408</v>
      </c>
      <c r="F2" s="12" t="s">
        <v>409</v>
      </c>
      <c r="G2" s="12" t="s">
        <v>410</v>
      </c>
      <c r="H2" s="12" t="s">
        <v>5</v>
      </c>
    </row>
    <row r="3" customFormat="false" ht="35.05" hidden="false" customHeight="false" outlineLevel="0" collapsed="false">
      <c r="A3" s="12" t="s">
        <v>411</v>
      </c>
      <c r="B3" s="12" t="s">
        <v>412</v>
      </c>
      <c r="C3" s="14" t="s">
        <v>406</v>
      </c>
      <c r="D3" s="12" t="s">
        <v>413</v>
      </c>
      <c r="E3" s="12" t="s">
        <v>414</v>
      </c>
      <c r="F3" s="12" t="s">
        <v>415</v>
      </c>
      <c r="G3" s="12" t="s">
        <v>410</v>
      </c>
      <c r="H3" s="12" t="s">
        <v>5</v>
      </c>
    </row>
    <row r="4" customFormat="false" ht="35.05" hidden="false" customHeight="false" outlineLevel="0" collapsed="false">
      <c r="A4" s="12" t="s">
        <v>416</v>
      </c>
      <c r="B4" s="12" t="s">
        <v>417</v>
      </c>
      <c r="C4" s="15" t="s">
        <v>418</v>
      </c>
      <c r="D4" s="12" t="s">
        <v>419</v>
      </c>
      <c r="E4" s="12" t="s">
        <v>420</v>
      </c>
      <c r="F4" s="12" t="s">
        <v>421</v>
      </c>
      <c r="G4" s="12" t="s">
        <v>410</v>
      </c>
      <c r="H4" s="12" t="s">
        <v>5</v>
      </c>
    </row>
    <row r="5" customFormat="false" ht="35.05" hidden="false" customHeight="false" outlineLevel="0" collapsed="false">
      <c r="A5" s="12" t="s">
        <v>422</v>
      </c>
      <c r="B5" s="12" t="s">
        <v>423</v>
      </c>
      <c r="C5" s="14" t="s">
        <v>406</v>
      </c>
      <c r="D5" s="12" t="s">
        <v>424</v>
      </c>
      <c r="E5" s="12" t="s">
        <v>425</v>
      </c>
      <c r="F5" s="12" t="s">
        <v>426</v>
      </c>
      <c r="G5" s="12" t="s">
        <v>410</v>
      </c>
      <c r="H5" s="12" t="s">
        <v>5</v>
      </c>
    </row>
    <row r="6" customFormat="false" ht="46.25" hidden="false" customHeight="false" outlineLevel="0" collapsed="false">
      <c r="A6" s="12" t="s">
        <v>427</v>
      </c>
      <c r="B6" s="12" t="s">
        <v>423</v>
      </c>
      <c r="C6" s="15" t="s">
        <v>418</v>
      </c>
      <c r="D6" s="12" t="s">
        <v>428</v>
      </c>
      <c r="E6" s="12" t="s">
        <v>429</v>
      </c>
      <c r="F6" s="12" t="s">
        <v>430</v>
      </c>
      <c r="G6" s="12" t="s">
        <v>431</v>
      </c>
      <c r="H6" s="12" t="s">
        <v>432</v>
      </c>
    </row>
    <row r="7" customFormat="false" ht="23.85" hidden="false" customHeight="false" outlineLevel="0" collapsed="false">
      <c r="A7" s="12" t="s">
        <v>433</v>
      </c>
      <c r="B7" s="12" t="s">
        <v>434</v>
      </c>
      <c r="C7" s="15" t="s">
        <v>418</v>
      </c>
      <c r="D7" s="12" t="s">
        <v>435</v>
      </c>
      <c r="E7" s="12" t="s">
        <v>436</v>
      </c>
      <c r="F7" s="12" t="s">
        <v>437</v>
      </c>
      <c r="G7" s="12" t="s">
        <v>410</v>
      </c>
      <c r="H7" s="12" t="s">
        <v>5</v>
      </c>
    </row>
    <row r="8" customFormat="false" ht="35.05" hidden="false" customHeight="false" outlineLevel="0" collapsed="false">
      <c r="A8" s="12" t="s">
        <v>438</v>
      </c>
      <c r="B8" s="12" t="s">
        <v>439</v>
      </c>
      <c r="C8" s="16" t="s">
        <v>440</v>
      </c>
      <c r="D8" s="12" t="s">
        <v>441</v>
      </c>
      <c r="E8" s="12" t="s">
        <v>442</v>
      </c>
      <c r="F8" s="12" t="s">
        <v>443</v>
      </c>
      <c r="G8" s="12" t="s">
        <v>444</v>
      </c>
      <c r="H8" s="12" t="s">
        <v>6</v>
      </c>
    </row>
    <row r="9" customFormat="false" ht="35.05" hidden="false" customHeight="false" outlineLevel="0" collapsed="false">
      <c r="A9" s="12" t="s">
        <v>445</v>
      </c>
      <c r="B9" s="12" t="s">
        <v>446</v>
      </c>
      <c r="C9" s="16" t="s">
        <v>440</v>
      </c>
      <c r="D9" s="12" t="s">
        <v>447</v>
      </c>
      <c r="E9" s="12" t="s">
        <v>448</v>
      </c>
      <c r="F9" s="12" t="s">
        <v>449</v>
      </c>
      <c r="G9" s="12" t="s">
        <v>450</v>
      </c>
      <c r="H9" s="12" t="s">
        <v>5</v>
      </c>
    </row>
    <row r="10" customFormat="false" ht="46.25" hidden="false" customHeight="false" outlineLevel="0" collapsed="false">
      <c r="A10" s="12" t="s">
        <v>451</v>
      </c>
      <c r="B10" s="12" t="s">
        <v>452</v>
      </c>
      <c r="C10" s="14" t="s">
        <v>406</v>
      </c>
      <c r="D10" s="12" t="s">
        <v>453</v>
      </c>
      <c r="E10" s="12" t="s">
        <v>454</v>
      </c>
      <c r="F10" s="12" t="s">
        <v>455</v>
      </c>
      <c r="G10" s="12" t="s">
        <v>410</v>
      </c>
      <c r="H10" s="12" t="s">
        <v>5</v>
      </c>
    </row>
    <row r="11" customFormat="false" ht="23.85" hidden="false" customHeight="false" outlineLevel="0" collapsed="false">
      <c r="A11" s="12" t="s">
        <v>456</v>
      </c>
      <c r="B11" s="12" t="s">
        <v>457</v>
      </c>
      <c r="C11" s="15" t="s">
        <v>418</v>
      </c>
      <c r="D11" s="12" t="s">
        <v>458</v>
      </c>
      <c r="E11" s="12" t="s">
        <v>459</v>
      </c>
      <c r="F11" s="12" t="s">
        <v>460</v>
      </c>
      <c r="G11" s="12" t="s">
        <v>461</v>
      </c>
      <c r="H11" s="12" t="s">
        <v>249</v>
      </c>
    </row>
    <row r="12" customFormat="false" ht="35.05" hidden="false" customHeight="false" outlineLevel="0" collapsed="false">
      <c r="A12" s="12" t="s">
        <v>462</v>
      </c>
      <c r="B12" s="12" t="s">
        <v>463</v>
      </c>
      <c r="C12" s="16" t="s">
        <v>440</v>
      </c>
      <c r="D12" s="12" t="s">
        <v>464</v>
      </c>
      <c r="E12" s="12" t="s">
        <v>465</v>
      </c>
      <c r="F12" s="12" t="s">
        <v>466</v>
      </c>
      <c r="G12" s="12" t="s">
        <v>467</v>
      </c>
      <c r="H12" s="12" t="s">
        <v>249</v>
      </c>
    </row>
    <row r="13" customFormat="false" ht="46.25" hidden="false" customHeight="false" outlineLevel="0" collapsed="false">
      <c r="A13" s="12" t="s">
        <v>468</v>
      </c>
      <c r="B13" s="12" t="s">
        <v>469</v>
      </c>
      <c r="C13" s="15" t="s">
        <v>418</v>
      </c>
      <c r="D13" s="12" t="s">
        <v>470</v>
      </c>
      <c r="E13" s="12" t="s">
        <v>471</v>
      </c>
      <c r="F13" s="12" t="s">
        <v>472</v>
      </c>
      <c r="G13" s="12" t="s">
        <v>467</v>
      </c>
      <c r="H13" s="12" t="s">
        <v>249</v>
      </c>
    </row>
  </sheetData>
  <autoFilter ref="A1:H13"/>
  <conditionalFormatting sqref="G2:H13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7">
      <formula>"Fixed"</formula>
    </cfRule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8">
      <formula>"Open"</formula>
    </cfRule>
    <cfRule type="cellIs" priority="6" operator="equal" aboveAverage="0" equalAverage="0" bottom="0" percent="0" rank="0" text="" dxfId="7">
      <formula>"Closed"</formula>
    </cfRule>
    <cfRule type="cellIs" priority="7" operator="equal" aboveAverage="0" equalAverage="0" bottom="0" percent="0" rank="0" text="" dxfId="9">
      <formula>"Not tested"</formula>
    </cfRule>
    <cfRule type="cellIs" priority="8" operator="equal" aboveAverage="0" equalAverage="0" bottom="0" percent="0" rank="0" text="" dxfId="9">
      <formula>"Skip"</formula>
    </cfRule>
    <cfRule type="cellIs" priority="9" operator="equal" aboveAverage="0" equalAverage="0" bottom="0" percent="0" rank="0" text="" dxfId="10">
      <formula>"Owner decision"</formula>
    </cfRule>
    <cfRule type="cellIs" priority="10" operator="equal" aboveAverage="0" equalAverage="0" bottom="0" percent="0" rank="0" text="" dxfId="10">
      <formula>"Partly fixed"</formula>
    </cfRule>
    <cfRule type="cellIs" priority="11" operator="equal" aboveAverage="0" equalAverage="0" bottom="0" percent="0" rank="0" text="" dxfId="10">
      <formula>"Known issue"</formula>
    </cfRule>
    <cfRule type="cellIs" priority="12" operator="equal" aboveAverage="0" equalAverage="0" bottom="0" percent="0" rank="0" text="" dxfId="9">
      <formula>"Planned"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30" hidden="false" customHeight="true" outlineLevel="0" collapsed="false">
      <c r="A1" s="11" t="s">
        <v>473</v>
      </c>
      <c r="B1" s="11" t="s">
        <v>474</v>
      </c>
      <c r="C1" s="11" t="s">
        <v>475</v>
      </c>
      <c r="D1" s="11" t="s">
        <v>476</v>
      </c>
      <c r="E1" s="11" t="s">
        <v>477</v>
      </c>
      <c r="F1" s="11" t="s">
        <v>478</v>
      </c>
      <c r="G1" s="11" t="s">
        <v>479</v>
      </c>
      <c r="H1" s="11" t="s">
        <v>480</v>
      </c>
      <c r="I1" s="11" t="s">
        <v>481</v>
      </c>
      <c r="J1" s="11" t="s">
        <v>482</v>
      </c>
      <c r="K1" s="11" t="s">
        <v>483</v>
      </c>
      <c r="L1" s="11" t="s">
        <v>484</v>
      </c>
    </row>
    <row r="2" customFormat="false" ht="15" hidden="false" customHeight="false" outlineLevel="0" collapsed="false">
      <c r="A2" s="12" t="s">
        <v>485</v>
      </c>
      <c r="B2" s="12" t="s">
        <v>486</v>
      </c>
      <c r="C2" s="12" t="s">
        <v>487</v>
      </c>
      <c r="D2" s="12" t="s">
        <v>488</v>
      </c>
      <c r="E2" s="12" t="n">
        <v>610</v>
      </c>
      <c r="F2" s="12" t="n">
        <v>560</v>
      </c>
      <c r="G2" s="17" t="n">
        <f aca="false">IF(E2=0,0,F2/E2)</f>
        <v>0.918032786885246</v>
      </c>
      <c r="H2" s="12" t="n">
        <v>23</v>
      </c>
      <c r="I2" s="12" t="n">
        <v>285</v>
      </c>
      <c r="J2" s="17" t="n">
        <f aca="false">IF(E2=0,0,I2/E2)</f>
        <v>0.467213114754098</v>
      </c>
      <c r="K2" s="12" t="n">
        <v>71</v>
      </c>
      <c r="L2" s="12" t="s">
        <v>5</v>
      </c>
    </row>
    <row r="3" customFormat="false" ht="15" hidden="false" customHeight="false" outlineLevel="0" collapsed="false">
      <c r="A3" s="12" t="s">
        <v>489</v>
      </c>
      <c r="B3" s="12" t="s">
        <v>486</v>
      </c>
      <c r="C3" s="12" t="s">
        <v>490</v>
      </c>
      <c r="D3" s="12" t="s">
        <v>488</v>
      </c>
      <c r="E3" s="12" t="n">
        <v>600</v>
      </c>
      <c r="F3" s="12" t="n">
        <v>535</v>
      </c>
      <c r="G3" s="17" t="n">
        <f aca="false">IF(E3=0,0,F3/E3)</f>
        <v>0.891666666666667</v>
      </c>
      <c r="H3" s="12" t="n">
        <v>17</v>
      </c>
      <c r="I3" s="12" t="n">
        <v>107</v>
      </c>
      <c r="J3" s="17" t="n">
        <f aca="false">IF(E3=0,0,I3/E3)</f>
        <v>0.178333333333333</v>
      </c>
      <c r="K3" s="12" t="n">
        <v>300</v>
      </c>
      <c r="L3" s="12" t="s">
        <v>5</v>
      </c>
    </row>
    <row r="4" customFormat="false" ht="15" hidden="false" customHeight="false" outlineLevel="0" collapsed="false">
      <c r="A4" s="12" t="s">
        <v>491</v>
      </c>
      <c r="B4" s="12" t="s">
        <v>486</v>
      </c>
      <c r="C4" s="12" t="s">
        <v>490</v>
      </c>
      <c r="D4" s="12" t="s">
        <v>488</v>
      </c>
      <c r="E4" s="12" t="n">
        <v>602</v>
      </c>
      <c r="F4" s="12" t="n">
        <v>578</v>
      </c>
      <c r="G4" s="17" t="n">
        <f aca="false">IF(E4=0,0,F4/E4)</f>
        <v>0.960132890365449</v>
      </c>
      <c r="H4" s="12" t="n">
        <v>15</v>
      </c>
      <c r="I4" s="12" t="n">
        <v>166</v>
      </c>
      <c r="J4" s="17" t="n">
        <f aca="false">IF(E4=0,0,I4/E4)</f>
        <v>0.275747508305648</v>
      </c>
      <c r="K4" s="12" t="n">
        <v>73</v>
      </c>
      <c r="L4" s="12" t="s">
        <v>5</v>
      </c>
    </row>
    <row r="5" customFormat="false" ht="15" hidden="false" customHeight="false" outlineLevel="0" collapsed="false">
      <c r="A5" s="12" t="s">
        <v>492</v>
      </c>
      <c r="B5" s="12" t="s">
        <v>486</v>
      </c>
      <c r="C5" s="12" t="s">
        <v>490</v>
      </c>
      <c r="D5" s="12" t="s">
        <v>488</v>
      </c>
      <c r="E5" s="12" t="n">
        <v>518</v>
      </c>
      <c r="F5" s="12" t="n">
        <v>429</v>
      </c>
      <c r="G5" s="17" t="n">
        <f aca="false">IF(E5=0,0,F5/E5)</f>
        <v>0.828185328185328</v>
      </c>
      <c r="H5" s="12" t="n">
        <v>21</v>
      </c>
      <c r="I5" s="12" t="n">
        <v>150</v>
      </c>
      <c r="J5" s="17" t="n">
        <f aca="false">IF(E5=0,0,I5/E5)</f>
        <v>0.28957528957529</v>
      </c>
      <c r="K5" s="12" t="n">
        <v>84</v>
      </c>
      <c r="L5" s="12" t="s">
        <v>5</v>
      </c>
    </row>
    <row r="6" customFormat="false" ht="15" hidden="false" customHeight="false" outlineLevel="0" collapsed="false">
      <c r="A6" s="12" t="s">
        <v>493</v>
      </c>
      <c r="B6" s="12" t="s">
        <v>486</v>
      </c>
      <c r="C6" s="12" t="s">
        <v>494</v>
      </c>
      <c r="D6" s="12" t="s">
        <v>488</v>
      </c>
      <c r="E6" s="12" t="n">
        <v>479</v>
      </c>
      <c r="F6" s="12" t="n">
        <v>448</v>
      </c>
      <c r="G6" s="17" t="n">
        <f aca="false">IF(E6=0,0,F6/E6)</f>
        <v>0.935281837160752</v>
      </c>
      <c r="H6" s="12" t="n">
        <v>16</v>
      </c>
      <c r="I6" s="12" t="n">
        <v>184</v>
      </c>
      <c r="J6" s="17" t="n">
        <f aca="false">IF(E6=0,0,I6/E6)</f>
        <v>0.384133611691023</v>
      </c>
      <c r="K6" s="12" t="n">
        <v>110</v>
      </c>
      <c r="L6" s="12" t="s">
        <v>5</v>
      </c>
    </row>
    <row r="7" customFormat="false" ht="15" hidden="false" customHeight="false" outlineLevel="0" collapsed="false">
      <c r="A7" s="12" t="s">
        <v>495</v>
      </c>
      <c r="B7" s="12" t="s">
        <v>486</v>
      </c>
      <c r="C7" s="12" t="s">
        <v>490</v>
      </c>
      <c r="D7" s="12" t="s">
        <v>496</v>
      </c>
      <c r="E7" s="12" t="n">
        <v>600</v>
      </c>
      <c r="F7" s="12" t="n">
        <v>600</v>
      </c>
      <c r="G7" s="17" t="n">
        <f aca="false">IF(E7=0,0,F7/E7)</f>
        <v>1</v>
      </c>
      <c r="H7" s="12" t="n">
        <v>33</v>
      </c>
      <c r="I7" s="12" t="n">
        <v>252</v>
      </c>
      <c r="J7" s="17" t="n">
        <f aca="false">IF(E7=0,0,I7/E7)</f>
        <v>0.42</v>
      </c>
      <c r="K7" s="12" t="n">
        <v>0</v>
      </c>
      <c r="L7" s="12" t="s">
        <v>5</v>
      </c>
    </row>
    <row r="8" customFormat="false" ht="15" hidden="false" customHeight="false" outlineLevel="0" collapsed="false">
      <c r="A8" s="12" t="s">
        <v>497</v>
      </c>
      <c r="B8" s="12" t="s">
        <v>498</v>
      </c>
      <c r="C8" s="12" t="s">
        <v>490</v>
      </c>
      <c r="D8" s="12" t="s">
        <v>499</v>
      </c>
      <c r="E8" s="12" t="n">
        <v>148</v>
      </c>
      <c r="F8" s="12" t="n">
        <v>144</v>
      </c>
      <c r="G8" s="17" t="n">
        <f aca="false">IF(E8=0,0,F8/E8)</f>
        <v>0.972972972972973</v>
      </c>
      <c r="H8" s="12" t="n">
        <v>4</v>
      </c>
      <c r="I8" s="12" t="n">
        <v>23</v>
      </c>
      <c r="J8" s="17" t="n">
        <f aca="false">IF(E8=0,0,I8/E8)</f>
        <v>0.155405405405405</v>
      </c>
      <c r="K8" s="12" t="n">
        <v>0</v>
      </c>
      <c r="L8" s="12" t="s">
        <v>5</v>
      </c>
    </row>
    <row r="9" customFormat="false" ht="23.85" hidden="false" customHeight="false" outlineLevel="0" collapsed="false">
      <c r="A9" s="12" t="s">
        <v>500</v>
      </c>
      <c r="B9" s="12" t="s">
        <v>501</v>
      </c>
      <c r="C9" s="12" t="s">
        <v>490</v>
      </c>
      <c r="D9" s="12" t="s">
        <v>499</v>
      </c>
      <c r="E9" s="12" t="n">
        <v>19</v>
      </c>
      <c r="F9" s="12" t="n">
        <v>19</v>
      </c>
      <c r="G9" s="17" t="n">
        <f aca="false">IF(E9=0,0,F9/E9)</f>
        <v>1</v>
      </c>
      <c r="H9" s="12" t="n">
        <v>1</v>
      </c>
      <c r="I9" s="12" t="n">
        <v>3</v>
      </c>
      <c r="J9" s="17" t="n">
        <f aca="false">IF(E9=0,0,I9/E9)</f>
        <v>0.157894736842105</v>
      </c>
      <c r="K9" s="12" t="n">
        <v>0</v>
      </c>
      <c r="L9" s="12" t="s">
        <v>5</v>
      </c>
    </row>
    <row r="10" customFormat="false" ht="15" hidden="false" customHeight="false" outlineLevel="0" collapsed="false">
      <c r="A10" s="12" t="s">
        <v>502</v>
      </c>
      <c r="B10" s="12" t="s">
        <v>503</v>
      </c>
      <c r="C10" s="12" t="s">
        <v>494</v>
      </c>
      <c r="D10" s="12" t="s">
        <v>496</v>
      </c>
      <c r="E10" s="12" t="n">
        <v>5</v>
      </c>
      <c r="F10" s="12" t="n">
        <v>5</v>
      </c>
      <c r="G10" s="17" t="n">
        <f aca="false">IF(E10=0,0,F10/E10)</f>
        <v>1</v>
      </c>
      <c r="H10" s="12" t="n">
        <v>1</v>
      </c>
      <c r="I10" s="12" t="n">
        <v>2</v>
      </c>
      <c r="J10" s="17" t="n">
        <f aca="false">IF(E10=0,0,I10/E10)</f>
        <v>0.4</v>
      </c>
      <c r="K10" s="12" t="n">
        <v>0</v>
      </c>
      <c r="L10" s="12" t="s">
        <v>5</v>
      </c>
    </row>
    <row r="11" customFormat="false" ht="15" hidden="false" customHeight="false" outlineLevel="0" collapsed="false">
      <c r="A11" s="12" t="s">
        <v>504</v>
      </c>
      <c r="B11" s="12" t="s">
        <v>505</v>
      </c>
      <c r="C11" s="12" t="s">
        <v>494</v>
      </c>
      <c r="D11" s="12" t="s">
        <v>496</v>
      </c>
      <c r="E11" s="12" t="n">
        <v>17</v>
      </c>
      <c r="F11" s="12" t="n">
        <v>17</v>
      </c>
      <c r="G11" s="17" t="n">
        <f aca="false">IF(E11=0,0,F11/E11)</f>
        <v>1</v>
      </c>
      <c r="H11" s="12" t="n">
        <v>1</v>
      </c>
      <c r="I11" s="12" t="n">
        <v>10</v>
      </c>
      <c r="J11" s="17" t="n">
        <f aca="false">IF(E11=0,0,I11/E11)</f>
        <v>0.588235294117647</v>
      </c>
      <c r="K11" s="12" t="n">
        <v>0</v>
      </c>
      <c r="L11" s="12" t="s">
        <v>5</v>
      </c>
    </row>
    <row r="12" customFormat="false" ht="15" hidden="false" customHeight="false" outlineLevel="0" collapsed="false">
      <c r="A12" s="18" t="s">
        <v>4</v>
      </c>
      <c r="B12" s="18"/>
      <c r="C12" s="18"/>
      <c r="D12" s="18"/>
      <c r="E12" s="18" t="n">
        <f aca="false">SUM(E2:E11)</f>
        <v>3598</v>
      </c>
      <c r="F12" s="18" t="n">
        <f aca="false">SUM(F2:F11)</f>
        <v>3335</v>
      </c>
      <c r="G12" s="19" t="n">
        <f aca="false">IF(E12=0,0,F12/E12)</f>
        <v>0.926903835464147</v>
      </c>
      <c r="H12" s="18"/>
      <c r="I12" s="18" t="n">
        <f aca="false">SUM(I2:I11)</f>
        <v>1182</v>
      </c>
      <c r="J12" s="19" t="n">
        <f aca="false">IF(E12=0,0,I12/E12)</f>
        <v>0.328515842134519</v>
      </c>
      <c r="K12" s="18" t="n">
        <f aca="false">SUM(K2:K11)</f>
        <v>638</v>
      </c>
      <c r="L12" s="18"/>
    </row>
    <row r="14" customFormat="false" ht="15" hidden="false" customHeight="false" outlineLevel="0" collapsed="false">
      <c r="A14" s="20" t="s">
        <v>506</v>
      </c>
    </row>
  </sheetData>
  <autoFilter ref="A1:L11"/>
  <conditionalFormatting sqref="L2:L11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7">
      <formula>"Fixed"</formula>
    </cfRule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8">
      <formula>"Open"</formula>
    </cfRule>
    <cfRule type="cellIs" priority="6" operator="equal" aboveAverage="0" equalAverage="0" bottom="0" percent="0" rank="0" text="" dxfId="7">
      <formula>"Closed"</formula>
    </cfRule>
    <cfRule type="cellIs" priority="7" operator="equal" aboveAverage="0" equalAverage="0" bottom="0" percent="0" rank="0" text="" dxfId="9">
      <formula>"Not tested"</formula>
    </cfRule>
    <cfRule type="cellIs" priority="8" operator="equal" aboveAverage="0" equalAverage="0" bottom="0" percent="0" rank="0" text="" dxfId="9">
      <formula>"Skip"</formula>
    </cfRule>
    <cfRule type="cellIs" priority="9" operator="equal" aboveAverage="0" equalAverage="0" bottom="0" percent="0" rank="0" text="" dxfId="10">
      <formula>"Owner decision"</formula>
    </cfRule>
    <cfRule type="cellIs" priority="10" operator="equal" aboveAverage="0" equalAverage="0" bottom="0" percent="0" rank="0" text="" dxfId="10">
      <formula>"Partly fixed"</formula>
    </cfRule>
    <cfRule type="cellIs" priority="11" operator="equal" aboveAverage="0" equalAverage="0" bottom="0" percent="0" rank="0" text="" dxfId="10">
      <formula>"Known issue"</formula>
    </cfRule>
    <cfRule type="cellIs" priority="12" operator="equal" aboveAverage="0" equalAverage="0" bottom="0" percent="0" rank="0" text="" dxfId="9">
      <formula>"Planned"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1" t="s">
        <v>473</v>
      </c>
      <c r="B1" s="11" t="s">
        <v>507</v>
      </c>
      <c r="C1" s="11" t="s">
        <v>508</v>
      </c>
    </row>
    <row r="2" customFormat="false" ht="15" hidden="false" customHeight="false" outlineLevel="0" collapsed="false">
      <c r="A2" s="12" t="s">
        <v>495</v>
      </c>
      <c r="B2" s="12" t="s">
        <v>509</v>
      </c>
      <c r="C2" s="12" t="s">
        <v>510</v>
      </c>
    </row>
    <row r="3" customFormat="false" ht="15" hidden="false" customHeight="false" outlineLevel="0" collapsed="false">
      <c r="A3" s="12" t="s">
        <v>511</v>
      </c>
      <c r="B3" s="12" t="s">
        <v>509</v>
      </c>
      <c r="C3" s="12" t="s">
        <v>510</v>
      </c>
    </row>
    <row r="4" customFormat="false" ht="15" hidden="false" customHeight="false" outlineLevel="0" collapsed="false">
      <c r="A4" s="12" t="s">
        <v>512</v>
      </c>
      <c r="B4" s="12" t="s">
        <v>509</v>
      </c>
      <c r="C4" s="12" t="s">
        <v>510</v>
      </c>
    </row>
    <row r="5" customFormat="false" ht="15" hidden="false" customHeight="false" outlineLevel="0" collapsed="false">
      <c r="A5" s="12" t="s">
        <v>513</v>
      </c>
      <c r="B5" s="12" t="s">
        <v>509</v>
      </c>
      <c r="C5" s="12" t="s">
        <v>510</v>
      </c>
    </row>
    <row r="6" customFormat="false" ht="15" hidden="false" customHeight="false" outlineLevel="0" collapsed="false">
      <c r="A6" s="12" t="s">
        <v>514</v>
      </c>
      <c r="B6" s="12" t="s">
        <v>509</v>
      </c>
      <c r="C6" s="12" t="s">
        <v>510</v>
      </c>
    </row>
    <row r="7" customFormat="false" ht="15" hidden="false" customHeight="false" outlineLevel="0" collapsed="false">
      <c r="A7" s="12" t="s">
        <v>515</v>
      </c>
      <c r="B7" s="12" t="s">
        <v>509</v>
      </c>
      <c r="C7" s="12" t="s">
        <v>510</v>
      </c>
    </row>
    <row r="8" customFormat="false" ht="15" hidden="false" customHeight="false" outlineLevel="0" collapsed="false">
      <c r="A8" s="12" t="s">
        <v>516</v>
      </c>
      <c r="B8" s="12" t="s">
        <v>509</v>
      </c>
      <c r="C8" s="12" t="s">
        <v>510</v>
      </c>
    </row>
    <row r="9" customFormat="false" ht="15" hidden="false" customHeight="false" outlineLevel="0" collapsed="false">
      <c r="A9" s="12" t="s">
        <v>517</v>
      </c>
      <c r="B9" s="12" t="s">
        <v>509</v>
      </c>
      <c r="C9" s="12" t="s">
        <v>510</v>
      </c>
    </row>
    <row r="10" customFormat="false" ht="15" hidden="false" customHeight="false" outlineLevel="0" collapsed="false">
      <c r="A10" s="12" t="s">
        <v>518</v>
      </c>
      <c r="B10" s="12" t="s">
        <v>509</v>
      </c>
      <c r="C10" s="12" t="s">
        <v>519</v>
      </c>
    </row>
    <row r="11" customFormat="false" ht="15" hidden="false" customHeight="false" outlineLevel="0" collapsed="false">
      <c r="A11" s="12" t="s">
        <v>520</v>
      </c>
      <c r="B11" s="12" t="s">
        <v>509</v>
      </c>
      <c r="C11" s="12" t="s">
        <v>510</v>
      </c>
    </row>
    <row r="12" customFormat="false" ht="15" hidden="false" customHeight="false" outlineLevel="0" collapsed="false">
      <c r="A12" s="12" t="s">
        <v>504</v>
      </c>
      <c r="B12" s="12" t="s">
        <v>509</v>
      </c>
      <c r="C12" s="12" t="s">
        <v>510</v>
      </c>
    </row>
    <row r="13" customFormat="false" ht="15" hidden="false" customHeight="false" outlineLevel="0" collapsed="false">
      <c r="A13" s="12" t="s">
        <v>521</v>
      </c>
      <c r="B13" s="12" t="s">
        <v>509</v>
      </c>
      <c r="C13" s="12" t="s">
        <v>510</v>
      </c>
    </row>
    <row r="14" customFormat="false" ht="15" hidden="false" customHeight="false" outlineLevel="0" collapsed="false">
      <c r="A14" s="12" t="s">
        <v>502</v>
      </c>
      <c r="B14" s="12" t="s">
        <v>509</v>
      </c>
      <c r="C14" s="12" t="s">
        <v>510</v>
      </c>
    </row>
    <row r="15" customFormat="false" ht="15" hidden="false" customHeight="false" outlineLevel="0" collapsed="false">
      <c r="A15" s="12" t="s">
        <v>522</v>
      </c>
      <c r="B15" s="12" t="s">
        <v>523</v>
      </c>
      <c r="C15" s="12" t="s">
        <v>519</v>
      </c>
    </row>
    <row r="16" customFormat="false" ht="15" hidden="false" customHeight="false" outlineLevel="0" collapsed="false">
      <c r="A16" s="12" t="s">
        <v>524</v>
      </c>
      <c r="B16" s="12" t="s">
        <v>523</v>
      </c>
      <c r="C16" s="12" t="s">
        <v>519</v>
      </c>
    </row>
    <row r="17" customFormat="false" ht="15" hidden="false" customHeight="false" outlineLevel="0" collapsed="false">
      <c r="A17" s="12" t="s">
        <v>525</v>
      </c>
      <c r="B17" s="12" t="s">
        <v>523</v>
      </c>
      <c r="C17" s="12" t="s">
        <v>519</v>
      </c>
    </row>
    <row r="18" customFormat="false" ht="15" hidden="false" customHeight="false" outlineLevel="0" collapsed="false">
      <c r="A18" s="12" t="s">
        <v>526</v>
      </c>
      <c r="B18" s="12" t="s">
        <v>523</v>
      </c>
      <c r="C18" s="12" t="s">
        <v>519</v>
      </c>
    </row>
    <row r="19" customFormat="false" ht="15" hidden="false" customHeight="false" outlineLevel="0" collapsed="false">
      <c r="A19" s="12" t="s">
        <v>527</v>
      </c>
      <c r="B19" s="12" t="s">
        <v>523</v>
      </c>
      <c r="C19" s="12" t="s">
        <v>519</v>
      </c>
    </row>
    <row r="20" customFormat="false" ht="15" hidden="false" customHeight="false" outlineLevel="0" collapsed="false">
      <c r="A20" s="12" t="s">
        <v>528</v>
      </c>
      <c r="B20" s="12" t="s">
        <v>523</v>
      </c>
      <c r="C20" s="12" t="s">
        <v>519</v>
      </c>
    </row>
    <row r="21" customFormat="false" ht="15" hidden="false" customHeight="false" outlineLevel="0" collapsed="false">
      <c r="A21" s="12" t="s">
        <v>529</v>
      </c>
      <c r="B21" s="12" t="s">
        <v>523</v>
      </c>
      <c r="C21" s="12" t="s">
        <v>519</v>
      </c>
    </row>
    <row r="22" customFormat="false" ht="15" hidden="false" customHeight="false" outlineLevel="0" collapsed="false">
      <c r="A22" s="12" t="s">
        <v>530</v>
      </c>
      <c r="B22" s="12" t="s">
        <v>523</v>
      </c>
      <c r="C22" s="12" t="s">
        <v>519</v>
      </c>
    </row>
    <row r="23" customFormat="false" ht="15" hidden="false" customHeight="false" outlineLevel="0" collapsed="false">
      <c r="A23" s="12" t="s">
        <v>531</v>
      </c>
      <c r="B23" s="12" t="s">
        <v>523</v>
      </c>
      <c r="C23" s="12" t="s">
        <v>519</v>
      </c>
    </row>
    <row r="24" customFormat="false" ht="15" hidden="false" customHeight="false" outlineLevel="0" collapsed="false">
      <c r="A24" s="12" t="s">
        <v>532</v>
      </c>
      <c r="B24" s="12" t="s">
        <v>523</v>
      </c>
      <c r="C24" s="12" t="s">
        <v>519</v>
      </c>
    </row>
    <row r="25" customFormat="false" ht="15" hidden="false" customHeight="false" outlineLevel="0" collapsed="false">
      <c r="A25" s="12" t="s">
        <v>533</v>
      </c>
      <c r="B25" s="12" t="s">
        <v>523</v>
      </c>
      <c r="C25" s="12" t="s">
        <v>519</v>
      </c>
    </row>
    <row r="26" customFormat="false" ht="15" hidden="false" customHeight="false" outlineLevel="0" collapsed="false">
      <c r="A26" s="12" t="s">
        <v>534</v>
      </c>
      <c r="B26" s="12" t="s">
        <v>523</v>
      </c>
      <c r="C26" s="12" t="s">
        <v>519</v>
      </c>
    </row>
    <row r="27" customFormat="false" ht="15" hidden="false" customHeight="false" outlineLevel="0" collapsed="false">
      <c r="A27" s="12" t="s">
        <v>535</v>
      </c>
      <c r="B27" s="12" t="s">
        <v>536</v>
      </c>
      <c r="C27" s="12" t="s">
        <v>519</v>
      </c>
    </row>
    <row r="28" customFormat="false" ht="15" hidden="false" customHeight="false" outlineLevel="0" collapsed="false">
      <c r="A28" s="12" t="s">
        <v>537</v>
      </c>
      <c r="B28" s="12" t="s">
        <v>536</v>
      </c>
      <c r="C28" s="12" t="s">
        <v>519</v>
      </c>
    </row>
    <row r="29" customFormat="false" ht="15" hidden="false" customHeight="false" outlineLevel="0" collapsed="false">
      <c r="A29" s="12" t="s">
        <v>538</v>
      </c>
      <c r="B29" s="12" t="s">
        <v>536</v>
      </c>
      <c r="C29" s="12" t="s">
        <v>519</v>
      </c>
    </row>
    <row r="30" customFormat="false" ht="15" hidden="false" customHeight="false" outlineLevel="0" collapsed="false">
      <c r="A30" s="12" t="s">
        <v>539</v>
      </c>
      <c r="B30" s="12" t="s">
        <v>540</v>
      </c>
      <c r="C30" s="12" t="s">
        <v>541</v>
      </c>
    </row>
    <row r="31" customFormat="false" ht="15" hidden="false" customHeight="false" outlineLevel="0" collapsed="false">
      <c r="A31" s="12" t="s">
        <v>542</v>
      </c>
      <c r="B31" s="12" t="s">
        <v>540</v>
      </c>
      <c r="C31" s="12" t="s">
        <v>541</v>
      </c>
    </row>
    <row r="32" customFormat="false" ht="15" hidden="false" customHeight="false" outlineLevel="0" collapsed="false">
      <c r="A32" s="12" t="s">
        <v>543</v>
      </c>
      <c r="B32" s="12" t="s">
        <v>540</v>
      </c>
      <c r="C32" s="12" t="s">
        <v>541</v>
      </c>
    </row>
    <row r="33" customFormat="false" ht="15" hidden="false" customHeight="false" outlineLevel="0" collapsed="false">
      <c r="A33" s="12" t="s">
        <v>544</v>
      </c>
      <c r="B33" s="12" t="s">
        <v>540</v>
      </c>
      <c r="C33" s="12" t="s">
        <v>541</v>
      </c>
    </row>
    <row r="34" customFormat="false" ht="15" hidden="false" customHeight="false" outlineLevel="0" collapsed="false">
      <c r="A34" s="12" t="s">
        <v>545</v>
      </c>
      <c r="B34" s="12" t="s">
        <v>540</v>
      </c>
      <c r="C34" s="12" t="s">
        <v>541</v>
      </c>
    </row>
    <row r="35" customFormat="false" ht="15" hidden="false" customHeight="false" outlineLevel="0" collapsed="false">
      <c r="A35" s="12" t="s">
        <v>546</v>
      </c>
      <c r="B35" s="12" t="s">
        <v>540</v>
      </c>
      <c r="C35" s="12" t="s">
        <v>541</v>
      </c>
    </row>
    <row r="36" customFormat="false" ht="15" hidden="false" customHeight="false" outlineLevel="0" collapsed="false">
      <c r="A36" s="12" t="s">
        <v>547</v>
      </c>
      <c r="B36" s="12" t="s">
        <v>548</v>
      </c>
      <c r="C36" s="12" t="s">
        <v>541</v>
      </c>
    </row>
    <row r="37" customFormat="false" ht="15" hidden="false" customHeight="false" outlineLevel="0" collapsed="false">
      <c r="A37" s="12" t="s">
        <v>516</v>
      </c>
      <c r="B37" s="12" t="s">
        <v>548</v>
      </c>
      <c r="C37" s="12" t="s">
        <v>541</v>
      </c>
    </row>
    <row r="38" customFormat="false" ht="23.85" hidden="false" customHeight="false" outlineLevel="0" collapsed="false">
      <c r="A38" s="12" t="s">
        <v>549</v>
      </c>
      <c r="B38" s="12" t="s">
        <v>550</v>
      </c>
      <c r="C38" s="12" t="s">
        <v>551</v>
      </c>
    </row>
    <row r="39" customFormat="false" ht="15" hidden="false" customHeight="false" outlineLevel="0" collapsed="false">
      <c r="A39" s="12" t="s">
        <v>552</v>
      </c>
      <c r="B39" s="12" t="s">
        <v>550</v>
      </c>
      <c r="C39" s="12" t="s">
        <v>553</v>
      </c>
    </row>
    <row r="40" customFormat="false" ht="15" hidden="false" customHeight="false" outlineLevel="0" collapsed="false">
      <c r="A40" s="12" t="s">
        <v>554</v>
      </c>
      <c r="B40" s="12" t="s">
        <v>550</v>
      </c>
      <c r="C40" s="12" t="s">
        <v>555</v>
      </c>
    </row>
    <row r="41" customFormat="false" ht="23.85" hidden="false" customHeight="false" outlineLevel="0" collapsed="false">
      <c r="A41" s="12" t="s">
        <v>556</v>
      </c>
      <c r="B41" s="12" t="s">
        <v>550</v>
      </c>
      <c r="C41" s="12" t="s">
        <v>557</v>
      </c>
    </row>
  </sheetData>
  <autoFilter ref="A1:C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1" t="s">
        <v>558</v>
      </c>
      <c r="B1" s="11" t="s">
        <v>559</v>
      </c>
      <c r="C1" s="11" t="s">
        <v>560</v>
      </c>
      <c r="D1" s="11" t="s">
        <v>561</v>
      </c>
      <c r="E1" s="11" t="s">
        <v>562</v>
      </c>
      <c r="F1" s="11" t="s">
        <v>563</v>
      </c>
    </row>
    <row r="2" customFormat="false" ht="15" hidden="false" customHeight="false" outlineLevel="0" collapsed="false">
      <c r="A2" s="12" t="s">
        <v>477</v>
      </c>
      <c r="B2" s="12" t="n">
        <v>3584</v>
      </c>
      <c r="C2" s="12" t="n">
        <v>3598</v>
      </c>
      <c r="D2" s="21" t="n">
        <f aca="false">C2-B2</f>
        <v>14</v>
      </c>
      <c r="E2" s="17"/>
      <c r="F2" s="12" t="s">
        <v>564</v>
      </c>
    </row>
    <row r="3" customFormat="false" ht="15" hidden="false" customHeight="false" outlineLevel="0" collapsed="false">
      <c r="A3" s="12" t="s">
        <v>565</v>
      </c>
      <c r="B3" s="12" t="n">
        <v>2016</v>
      </c>
      <c r="C3" s="12" t="n">
        <v>3335</v>
      </c>
      <c r="D3" s="21" t="n">
        <f aca="false">C3-B3</f>
        <v>1319</v>
      </c>
      <c r="E3" s="17" t="n">
        <f aca="false">IF($C$2=0,0,C3/$C$2)</f>
        <v>0.926903835464147</v>
      </c>
      <c r="F3" s="12" t="s">
        <v>566</v>
      </c>
    </row>
    <row r="4" customFormat="false" ht="15" hidden="false" customHeight="false" outlineLevel="0" collapsed="false">
      <c r="A4" s="12" t="s">
        <v>567</v>
      </c>
      <c r="B4" s="12" t="n">
        <v>41</v>
      </c>
      <c r="C4" s="12" t="n">
        <v>42</v>
      </c>
      <c r="D4" s="21" t="n">
        <f aca="false">C4-B4</f>
        <v>1</v>
      </c>
      <c r="E4" s="17"/>
      <c r="F4" s="12"/>
    </row>
    <row r="5" customFormat="false" ht="15" hidden="false" customHeight="false" outlineLevel="0" collapsed="false">
      <c r="A5" s="12" t="s">
        <v>568</v>
      </c>
      <c r="B5" s="12" t="n">
        <v>1440</v>
      </c>
      <c r="C5" s="12" t="n">
        <v>1182</v>
      </c>
      <c r="D5" s="21" t="n">
        <f aca="false">C5-B5</f>
        <v>-258</v>
      </c>
      <c r="E5" s="17" t="n">
        <f aca="false">IF($C$2=0,0,C5/$C$2)</f>
        <v>0.328515842134519</v>
      </c>
      <c r="F5" s="12" t="s">
        <v>427</v>
      </c>
    </row>
    <row r="6" customFormat="false" ht="15" hidden="false" customHeight="false" outlineLevel="0" collapsed="false">
      <c r="A6" s="12" t="s">
        <v>569</v>
      </c>
      <c r="B6" s="12" t="n">
        <v>960</v>
      </c>
      <c r="C6" s="12" t="n">
        <v>1240</v>
      </c>
      <c r="D6" s="21" t="n">
        <f aca="false">C6-B6</f>
        <v>280</v>
      </c>
      <c r="E6" s="17" t="n">
        <f aca="false">IF($C$2=0,0,C6/$C$2)</f>
        <v>0.344635908838243</v>
      </c>
      <c r="F6" s="12"/>
    </row>
    <row r="7" customFormat="false" ht="15" hidden="false" customHeight="false" outlineLevel="0" collapsed="false">
      <c r="A7" s="12" t="s">
        <v>570</v>
      </c>
      <c r="B7" s="12" t="n">
        <v>532</v>
      </c>
      <c r="C7" s="12" t="n">
        <v>13</v>
      </c>
      <c r="D7" s="21" t="n">
        <f aca="false">C7-B7</f>
        <v>-519</v>
      </c>
      <c r="E7" s="17" t="n">
        <f aca="false">IF($C$2=0,0,C7/$C$2)</f>
        <v>0.00361311839911062</v>
      </c>
      <c r="F7" s="12" t="s">
        <v>433</v>
      </c>
    </row>
    <row r="8" customFormat="false" ht="15" hidden="false" customHeight="false" outlineLevel="0" collapsed="false">
      <c r="A8" s="12" t="s">
        <v>571</v>
      </c>
      <c r="B8" s="12" t="n">
        <v>375</v>
      </c>
      <c r="C8" s="12" t="n">
        <v>638</v>
      </c>
      <c r="D8" s="21" t="n">
        <f aca="false">C8-B8</f>
        <v>263</v>
      </c>
      <c r="E8" s="17" t="n">
        <f aca="false">IF($C$2=0,0,C8/$C$2)</f>
        <v>0.177320733740967</v>
      </c>
      <c r="F8" s="12" t="s">
        <v>572</v>
      </c>
    </row>
    <row r="9" customFormat="false" ht="15" hidden="false" customHeight="false" outlineLevel="0" collapsed="false">
      <c r="A9" s="12" t="s">
        <v>573</v>
      </c>
      <c r="B9" s="12" t="n">
        <v>3229</v>
      </c>
      <c r="C9" s="12" t="n">
        <v>3387</v>
      </c>
      <c r="D9" s="21" t="n">
        <f aca="false">C9-B9</f>
        <v>158</v>
      </c>
      <c r="E9" s="17" t="n">
        <f aca="false">IF($C$2=0,0,C9/$C$2)</f>
        <v>0.941356309060589</v>
      </c>
      <c r="F9" s="12" t="s">
        <v>574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2026-10-05T12:46:15Z</dcterms:created>
  <dc:creator>openpyxl</dc:creator>
  <dc:description/>
  <dc:language>en-US</dc:language>
  <cp:lastModifiedBy/>
  <dcterms:modified xsi:type="dcterms:W3CDTF">2026-10-05T12:46:15Z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